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ummary" sheetId="2" state="visible" r:id="rId4"/>
    <sheet name="Test" sheetId="3" state="visible" r:id="rId5"/>
    <sheet name="Day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<sst xmlns="http://schemas.openxmlformats.org/spreadsheetml/2006/main" count="720" uniqueCount="46">
  <si>
    <t xml:space="preserve">test_group</t>
  </si>
  <si>
    <t xml:space="preserve">day_num</t>
  </si>
  <si>
    <t xml:space="preserve">most_ads_day</t>
  </si>
  <si>
    <t xml:space="preserve">most_ads_hour</t>
  </si>
  <si>
    <t xml:space="preserve">users</t>
  </si>
  <si>
    <t xml:space="preserve">conversions</t>
  </si>
  <si>
    <t xml:space="preserve">ad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</si>
  <si>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</si>
  <si>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</si>
  <si>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</si>
  <si>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</si>
  <si>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</si>
  <si>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</si>
  <si>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</si>
  <si>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psa</t>
  </si>
  <si>
    <t xml:space="preserve">group</t>
  </si>
  <si>
    <t xml:space="preserve">rate</t>
  </si>
  <si>
    <t xml:space="preserve">Share of users in ad</t>
  </si>
  <si>
    <t xml:space="preserve">Source: ab_by_group_day_hour.csv exported by the notebook (Data sheet). All figures on this sheet are formulas.</t>
  </si>
  <si>
    <t xml:space="preserve">Metric</t>
  </si>
  <si>
    <t xml:space="preserve">Excel (formula)</t>
  </si>
  <si>
    <t xml:space="preserve">Python (notebook)</t>
  </si>
  <si>
    <t xml:space="preserve">Check</t>
  </si>
  <si>
    <t xml:space="preserve">Rate ad</t>
  </si>
  <si>
    <t xml:space="preserve">Rate psa</t>
  </si>
  <si>
    <t xml:space="preserve">Difference (ad - psa)</t>
  </si>
  <si>
    <t xml:space="preserve">Pooled rate</t>
  </si>
  <si>
    <t xml:space="preserve">Std. error (pooled)</t>
  </si>
  <si>
    <t xml:space="preserve">z</t>
  </si>
  <si>
    <t xml:space="preserve">p-value (two-sided)</t>
  </si>
  <si>
    <t xml:space="preserve">Std. error (Wald)</t>
  </si>
  <si>
    <t xml:space="preserve">Difference 95% CI low (Wald)</t>
  </si>
  <si>
    <t xml:space="preserve">Difference 95% CI high (Wald)</t>
  </si>
  <si>
    <t xml:space="preserve">Relative lift</t>
  </si>
  <si>
    <t xml:space="preserve">Blue = values copied from ab_results_python.csv (notebook output). Check tolerance: 1e-9 absolute; the p-value uses 0.01% relative tolerance.</t>
  </si>
  <si>
    <t xml:space="preserve">Wald CI uses the critical value NORMSINV(0.975), as in the notebook (norm.ppf(1 - ALPHA/2)), and matches this sheet. The statsmodels CI in the notebook uses the Agresti-Caffo method and differs slightly.</t>
  </si>
  <si>
    <t xml:space="preserve">day</t>
  </si>
  <si>
    <t xml:space="preserve">users ad</t>
  </si>
  <si>
    <t xml:space="preserve">conv. ad</t>
  </si>
  <si>
    <t xml:space="preserve">users psa</t>
  </si>
  <si>
    <t xml:space="preserve">conv. psa</t>
  </si>
  <si>
    <t xml:space="preserve">rate ad</t>
  </si>
  <si>
    <t xml:space="preserve">rate psa</t>
  </si>
  <si>
    <t xml:space="preserve">diff (pp)</t>
  </si>
  <si>
    <t xml:space="preserve">Python diff (pp)</t>
  </si>
  <si>
    <t xml:space="preserve">Blue = diff_pp from the notebook's day table (rounded to 4 decimals). Day-level results are exploratory.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</si>
</sst>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00%"/>
    <numFmt numFmtId="167" formatCode="0.0%"/>
    <numFmt numFmtId="168" formatCode="0.000000"/>
    <numFmt numFmtId="169" formatCode="0.0000"/>
    <numFmt numFmtId="170" formatCode="0.00E+00"/>
    <numFmt numFmtId="171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Difference in conversion by day (ad - psa, pp)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Days!I1</c:f>
              <c:strCache>
                <c:ptCount val="1"/>
                <c:pt idx="0">
                  <c:v>diff (pp)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Days!$B$2:$B$8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Days!$I$2:$I$8</c:f>
              <c:numCache>
                <c:formatCode>0.0000</c:formatCode>
                <c:ptCount val="7"/>
                <c:pt idx="0">
                  <c:v>1.06826581303999</c:v>
                </c:pt>
                <c:pt idx="1">
                  <c:v>1.59924953502802</c:v>
                </c:pt>
                <c:pt idx="2">
                  <c:v>0.959654807330666</c:v>
                </c:pt>
                <c:pt idx="3">
                  <c:v>0.140666473367333</c:v>
                </c:pt>
                <c:pt idx="4">
                  <c:v>0.616203254943073</c:v>
                </c:pt>
                <c:pt idx="5">
                  <c:v>0.731076456358034</c:v>
                </c:pt>
                <c:pt idx="6">
                  <c:v>0.402486622505454</c:v>
                </c:pt>
              </c:numCache>
            </c:numRef>
          </c:val>
        </c:ser>
        <c:gapWidth val="150"/>
        <c:overlap val="0"/>
        <c:axId val="50154019"/>
        <c:axId val="81565654"/>
      </c:barChart>
      <c:catAx>
        <c:axId val="501540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65654"/>
        <c:crosses val="autoZero"/>
        <c:auto val="1"/>
        <c:lblAlgn val="ctr"/>
        <c:lblOffset val="100"/>
        <c:noMultiLvlLbl val="0"/>
      </c:catAx>
      <c:valAx>
        <c:axId val="81565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540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0</xdr:rowOff>
    </xdr:from>
    <xdr:to>
      <xdr:col>8</xdr:col>
      <xdr:colOff>190800</xdr:colOff>
      <xdr:row>25</xdr:row>
      <xdr:rowOff>32400</xdr:rowOff>
    </xdr:to>
    <xdr:graphicFrame>
      <xdr:nvGraphicFramePr>
        <xdr:cNvPr id="0" name="Chart 1"/>
        <xdr:cNvGraphicFramePr/>
      </xdr:nvGraphicFramePr>
      <xdr:xfrm>
        <a:off x="0" y="2095560"/>
        <a:ext cx="575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4" min="3" style="1" width="14"/>
    <col collapsed="false" customWidth="true" hidden="false" outlineLevel="0" max="5" min="5" style="1" width="10"/>
    <col collapsed="false" customWidth="true" hidden="false" outlineLevel="0" max="6" min="6" style="1" width="1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n">
        <v>1</v>
      </c>
      <c r="C2" s="3" t="s">
        <v>7</v>
      </c>
      <c r="D2" s="3" t="n">
        <v>0</v>
      </c>
      <c r="E2" s="3" t="n">
        <v>820</v>
      </c>
      <c r="F2" s="3" t="n">
        <v>14</v>
      </c>
    </row>
    <row r="3" customFormat="false" ht="15" hidden="false" customHeight="true" outlineLevel="0" collapsed="false">
      <c r="A3" s="3" t="s">
        <v>6</v>
      </c>
      <c r="B3" s="3" t="n">
        <v>1</v>
      </c>
      <c r="C3" s="3" t="s">
        <v>7</v>
      </c>
      <c r="D3" s="3" t="n">
        <v>1</v>
      </c>
      <c r="E3" s="3" t="n">
        <v>531</v>
      </c>
      <c r="F3" s="3" t="n">
        <v>9</v>
      </c>
    </row>
    <row r="4" customFormat="false" ht="15" hidden="false" customHeight="true" outlineLevel="0" collapsed="false">
      <c r="A4" s="3" t="s">
        <v>6</v>
      </c>
      <c r="B4" s="3" t="n">
        <v>1</v>
      </c>
      <c r="C4" s="3" t="s">
        <v>7</v>
      </c>
      <c r="D4" s="3" t="n">
        <v>2</v>
      </c>
      <c r="E4" s="3" t="n">
        <v>709</v>
      </c>
      <c r="F4" s="3" t="n">
        <v>5</v>
      </c>
    </row>
    <row r="5" customFormat="false" ht="15" hidden="false" customHeight="true" outlineLevel="0" collapsed="false">
      <c r="A5" s="3" t="s">
        <v>6</v>
      </c>
      <c r="B5" s="3" t="n">
        <v>1</v>
      </c>
      <c r="C5" s="3" t="s">
        <v>7</v>
      </c>
      <c r="D5" s="3" t="n">
        <v>3</v>
      </c>
      <c r="E5" s="3" t="n">
        <v>316</v>
      </c>
      <c r="F5" s="3" t="n">
        <v>4</v>
      </c>
    </row>
    <row r="6" customFormat="false" ht="15" hidden="false" customHeight="true" outlineLevel="0" collapsed="false">
      <c r="A6" s="3" t="s">
        <v>6</v>
      </c>
      <c r="B6" s="3" t="n">
        <v>1</v>
      </c>
      <c r="C6" s="3" t="s">
        <v>7</v>
      </c>
      <c r="D6" s="3" t="n">
        <v>4</v>
      </c>
      <c r="E6" s="3" t="n">
        <v>88</v>
      </c>
      <c r="F6" s="3" t="n">
        <v>0</v>
      </c>
    </row>
    <row r="7" customFormat="false" ht="15" hidden="false" customHeight="true" outlineLevel="0" collapsed="false">
      <c r="A7" s="3" t="s">
        <v>6</v>
      </c>
      <c r="B7" s="3" t="n">
        <v>1</v>
      </c>
      <c r="C7" s="3" t="s">
        <v>7</v>
      </c>
      <c r="D7" s="3" t="n">
        <v>5</v>
      </c>
      <c r="E7" s="3" t="n">
        <v>92</v>
      </c>
      <c r="F7" s="3" t="n">
        <v>3</v>
      </c>
    </row>
    <row r="8" customFormat="false" ht="15" hidden="false" customHeight="true" outlineLevel="0" collapsed="false">
      <c r="A8" s="3" t="s">
        <v>6</v>
      </c>
      <c r="B8" s="3" t="n">
        <v>1</v>
      </c>
      <c r="C8" s="3" t="s">
        <v>7</v>
      </c>
      <c r="D8" s="3" t="n">
        <v>6</v>
      </c>
      <c r="E8" s="3" t="n">
        <v>262</v>
      </c>
      <c r="F8" s="3" t="n">
        <v>11</v>
      </c>
    </row>
    <row r="9" customFormat="false" ht="15" hidden="false" customHeight="true" outlineLevel="0" collapsed="false">
      <c r="A9" s="3" t="s">
        <v>6</v>
      </c>
      <c r="B9" s="3" t="n">
        <v>1</v>
      </c>
      <c r="C9" s="3" t="s">
        <v>7</v>
      </c>
      <c r="D9" s="3" t="n">
        <v>7</v>
      </c>
      <c r="E9" s="3" t="n">
        <v>760</v>
      </c>
      <c r="F9" s="3" t="n">
        <v>14</v>
      </c>
    </row>
    <row r="10" customFormat="false" ht="15" hidden="false" customHeight="true" outlineLevel="0" collapsed="false">
      <c r="A10" s="3" t="s">
        <v>6</v>
      </c>
      <c r="B10" s="3" t="n">
        <v>1</v>
      </c>
      <c r="C10" s="3" t="s">
        <v>7</v>
      </c>
      <c r="D10" s="3" t="n">
        <v>8</v>
      </c>
      <c r="E10" s="3" t="n">
        <v>2412</v>
      </c>
      <c r="F10" s="3" t="n">
        <v>82</v>
      </c>
    </row>
    <row r="11" customFormat="false" ht="15" hidden="false" customHeight="true" outlineLevel="0" collapsed="false">
      <c r="A11" s="3" t="s">
        <v>6</v>
      </c>
      <c r="B11" s="3" t="n">
        <v>1</v>
      </c>
      <c r="C11" s="3" t="s">
        <v>7</v>
      </c>
      <c r="D11" s="3" t="n">
        <v>9</v>
      </c>
      <c r="E11" s="3" t="n">
        <v>4365</v>
      </c>
      <c r="F11" s="3" t="n">
        <v>116</v>
      </c>
    </row>
    <row r="12" customFormat="false" ht="15" hidden="false" customHeight="true" outlineLevel="0" collapsed="false">
      <c r="A12" s="3" t="s">
        <v>6</v>
      </c>
      <c r="B12" s="3" t="n">
        <v>1</v>
      </c>
      <c r="C12" s="3" t="s">
        <v>7</v>
      </c>
      <c r="D12" s="3" t="n">
        <v>10</v>
      </c>
      <c r="E12" s="3" t="n">
        <v>5159</v>
      </c>
      <c r="F12" s="3" t="n">
        <v>157</v>
      </c>
    </row>
    <row r="13" customFormat="false" ht="15" hidden="false" customHeight="true" outlineLevel="0" collapsed="false">
      <c r="A13" s="3" t="s">
        <v>6</v>
      </c>
      <c r="B13" s="3" t="n">
        <v>1</v>
      </c>
      <c r="C13" s="3" t="s">
        <v>7</v>
      </c>
      <c r="D13" s="3" t="n">
        <v>11</v>
      </c>
      <c r="E13" s="3" t="n">
        <v>6433</v>
      </c>
      <c r="F13" s="3" t="n">
        <v>210</v>
      </c>
    </row>
    <row r="14" customFormat="false" ht="15" hidden="false" customHeight="true" outlineLevel="0" collapsed="false">
      <c r="A14" s="3" t="s">
        <v>6</v>
      </c>
      <c r="B14" s="3" t="n">
        <v>1</v>
      </c>
      <c r="C14" s="3" t="s">
        <v>7</v>
      </c>
      <c r="D14" s="3" t="n">
        <v>12</v>
      </c>
      <c r="E14" s="3" t="n">
        <v>6744</v>
      </c>
      <c r="F14" s="3" t="n">
        <v>224</v>
      </c>
    </row>
    <row r="15" customFormat="false" ht="15" hidden="false" customHeight="true" outlineLevel="0" collapsed="false">
      <c r="A15" s="3" t="s">
        <v>6</v>
      </c>
      <c r="B15" s="3" t="n">
        <v>1</v>
      </c>
      <c r="C15" s="3" t="s">
        <v>7</v>
      </c>
      <c r="D15" s="3" t="n">
        <v>13</v>
      </c>
      <c r="E15" s="3" t="n">
        <v>6678</v>
      </c>
      <c r="F15" s="3" t="n">
        <v>232</v>
      </c>
    </row>
    <row r="16" customFormat="false" ht="15" hidden="false" customHeight="true" outlineLevel="0" collapsed="false">
      <c r="A16" s="3" t="s">
        <v>6</v>
      </c>
      <c r="B16" s="3" t="n">
        <v>1</v>
      </c>
      <c r="C16" s="3" t="s">
        <v>7</v>
      </c>
      <c r="D16" s="3" t="n">
        <v>14</v>
      </c>
      <c r="E16" s="3" t="n">
        <v>6039</v>
      </c>
      <c r="F16" s="3" t="n">
        <v>271</v>
      </c>
    </row>
    <row r="17" customFormat="false" ht="15" hidden="false" customHeight="true" outlineLevel="0" collapsed="false">
      <c r="A17" s="3" t="s">
        <v>6</v>
      </c>
      <c r="B17" s="3" t="n">
        <v>1</v>
      </c>
      <c r="C17" s="3" t="s">
        <v>7</v>
      </c>
      <c r="D17" s="3" t="n">
        <v>15</v>
      </c>
      <c r="E17" s="3" t="n">
        <v>6357</v>
      </c>
      <c r="F17" s="3" t="n">
        <v>273</v>
      </c>
    </row>
    <row r="18" customFormat="false" ht="15" hidden="false" customHeight="true" outlineLevel="0" collapsed="false">
      <c r="A18" s="3" t="s">
        <v>6</v>
      </c>
      <c r="B18" s="3" t="n">
        <v>1</v>
      </c>
      <c r="C18" s="3" t="s">
        <v>7</v>
      </c>
      <c r="D18" s="3" t="n">
        <v>16</v>
      </c>
      <c r="E18" s="3" t="n">
        <v>5592</v>
      </c>
      <c r="F18" s="3" t="n">
        <v>209</v>
      </c>
    </row>
    <row r="19" customFormat="false" ht="15" hidden="false" customHeight="true" outlineLevel="0" collapsed="false">
      <c r="A19" s="3" t="s">
        <v>6</v>
      </c>
      <c r="B19" s="3" t="n">
        <v>1</v>
      </c>
      <c r="C19" s="3" t="s">
        <v>7</v>
      </c>
      <c r="D19" s="3" t="n">
        <v>17</v>
      </c>
      <c r="E19" s="3" t="n">
        <v>5432</v>
      </c>
      <c r="F19" s="3" t="n">
        <v>195</v>
      </c>
    </row>
    <row r="20" customFormat="false" ht="15" hidden="false" customHeight="true" outlineLevel="0" collapsed="false">
      <c r="A20" s="3" t="s">
        <v>6</v>
      </c>
      <c r="B20" s="3" t="n">
        <v>1</v>
      </c>
      <c r="C20" s="3" t="s">
        <v>7</v>
      </c>
      <c r="D20" s="3" t="n">
        <v>18</v>
      </c>
      <c r="E20" s="3" t="n">
        <v>5038</v>
      </c>
      <c r="F20" s="3" t="n">
        <v>140</v>
      </c>
    </row>
    <row r="21" customFormat="false" ht="15" hidden="false" customHeight="true" outlineLevel="0" collapsed="false">
      <c r="A21" s="3" t="s">
        <v>6</v>
      </c>
      <c r="B21" s="3" t="n">
        <v>1</v>
      </c>
      <c r="C21" s="3" t="s">
        <v>7</v>
      </c>
      <c r="D21" s="3" t="n">
        <v>19</v>
      </c>
      <c r="E21" s="3" t="n">
        <v>4449</v>
      </c>
      <c r="F21" s="3" t="n">
        <v>136</v>
      </c>
    </row>
    <row r="22" customFormat="false" ht="15" hidden="false" customHeight="true" outlineLevel="0" collapsed="false">
      <c r="A22" s="3" t="s">
        <v>6</v>
      </c>
      <c r="B22" s="3" t="n">
        <v>1</v>
      </c>
      <c r="C22" s="3" t="s">
        <v>7</v>
      </c>
      <c r="D22" s="3" t="n">
        <v>20</v>
      </c>
      <c r="E22" s="3" t="n">
        <v>4567</v>
      </c>
      <c r="F22" s="3" t="n">
        <v>148</v>
      </c>
    </row>
    <row r="23" customFormat="false" ht="15" hidden="false" customHeight="true" outlineLevel="0" collapsed="false">
      <c r="A23" s="3" t="s">
        <v>6</v>
      </c>
      <c r="B23" s="3" t="n">
        <v>1</v>
      </c>
      <c r="C23" s="3" t="s">
        <v>7</v>
      </c>
      <c r="D23" s="3" t="n">
        <v>21</v>
      </c>
      <c r="E23" s="3" t="n">
        <v>4244</v>
      </c>
      <c r="F23" s="3" t="n">
        <v>144</v>
      </c>
    </row>
    <row r="24" customFormat="false" ht="15" hidden="false" customHeight="true" outlineLevel="0" collapsed="false">
      <c r="A24" s="3" t="s">
        <v>6</v>
      </c>
      <c r="B24" s="3" t="n">
        <v>1</v>
      </c>
      <c r="C24" s="3" t="s">
        <v>7</v>
      </c>
      <c r="D24" s="3" t="n">
        <v>22</v>
      </c>
      <c r="E24" s="3" t="n">
        <v>3934</v>
      </c>
      <c r="F24" s="3" t="n">
        <v>118</v>
      </c>
    </row>
    <row r="25" customFormat="false" ht="15" hidden="false" customHeight="true" outlineLevel="0" collapsed="false">
      <c r="A25" s="3" t="s">
        <v>6</v>
      </c>
      <c r="B25" s="3" t="n">
        <v>1</v>
      </c>
      <c r="C25" s="3" t="s">
        <v>7</v>
      </c>
      <c r="D25" s="3" t="n">
        <v>23</v>
      </c>
      <c r="E25" s="3" t="n">
        <v>2550</v>
      </c>
      <c r="F25" s="3" t="n">
        <v>63</v>
      </c>
    </row>
    <row r="26" customFormat="false" ht="15" hidden="false" customHeight="true" outlineLevel="0" collapsed="false">
      <c r="A26" s="3" t="s">
        <v>6</v>
      </c>
      <c r="B26" s="3" t="n">
        <v>2</v>
      </c>
      <c r="C26" s="3" t="s">
        <v>8</v>
      </c>
      <c r="D26" s="3" t="n">
        <v>0</v>
      </c>
      <c r="E26" s="3" t="n">
        <v>713</v>
      </c>
      <c r="F26" s="3" t="n">
        <v>14</v>
      </c>
    </row>
    <row r="27" customFormat="false" ht="15" hidden="false" customHeight="true" outlineLevel="0" collapsed="false">
      <c r="A27" s="3" t="s">
        <v>6</v>
      </c>
      <c r="B27" s="3" t="n">
        <v>2</v>
      </c>
      <c r="C27" s="3" t="s">
        <v>8</v>
      </c>
      <c r="D27" s="3" t="n">
        <v>1</v>
      </c>
      <c r="E27" s="3" t="n">
        <v>632</v>
      </c>
      <c r="F27" s="3" t="n">
        <v>9</v>
      </c>
    </row>
    <row r="28" customFormat="false" ht="15" hidden="false" customHeight="true" outlineLevel="0" collapsed="false">
      <c r="A28" s="3" t="s">
        <v>6</v>
      </c>
      <c r="B28" s="3" t="n">
        <v>2</v>
      </c>
      <c r="C28" s="3" t="s">
        <v>8</v>
      </c>
      <c r="D28" s="3" t="n">
        <v>2</v>
      </c>
      <c r="E28" s="3" t="n">
        <v>728</v>
      </c>
      <c r="F28" s="3" t="n">
        <v>4</v>
      </c>
    </row>
    <row r="29" customFormat="false" ht="15" hidden="false" customHeight="true" outlineLevel="0" collapsed="false">
      <c r="A29" s="3" t="s">
        <v>6</v>
      </c>
      <c r="B29" s="3" t="n">
        <v>2</v>
      </c>
      <c r="C29" s="3" t="s">
        <v>8</v>
      </c>
      <c r="D29" s="3" t="n">
        <v>3</v>
      </c>
      <c r="E29" s="3" t="n">
        <v>336</v>
      </c>
      <c r="F29" s="3" t="n">
        <v>7</v>
      </c>
    </row>
    <row r="30" customFormat="false" ht="15" hidden="false" customHeight="true" outlineLevel="0" collapsed="false">
      <c r="A30" s="3" t="s">
        <v>6</v>
      </c>
      <c r="B30" s="3" t="n">
        <v>2</v>
      </c>
      <c r="C30" s="3" t="s">
        <v>8</v>
      </c>
      <c r="D30" s="3" t="n">
        <v>4</v>
      </c>
      <c r="E30" s="3" t="n">
        <v>100</v>
      </c>
      <c r="F30" s="3" t="n">
        <v>2</v>
      </c>
    </row>
    <row r="31" customFormat="false" ht="15" hidden="false" customHeight="true" outlineLevel="0" collapsed="false">
      <c r="A31" s="3" t="s">
        <v>6</v>
      </c>
      <c r="B31" s="3" t="n">
        <v>2</v>
      </c>
      <c r="C31" s="3" t="s">
        <v>8</v>
      </c>
      <c r="D31" s="3" t="n">
        <v>5</v>
      </c>
      <c r="E31" s="3" t="n">
        <v>76</v>
      </c>
      <c r="F31" s="3" t="n">
        <v>1</v>
      </c>
    </row>
    <row r="32" customFormat="false" ht="15" hidden="false" customHeight="true" outlineLevel="0" collapsed="false">
      <c r="A32" s="3" t="s">
        <v>6</v>
      </c>
      <c r="B32" s="3" t="n">
        <v>2</v>
      </c>
      <c r="C32" s="3" t="s">
        <v>8</v>
      </c>
      <c r="D32" s="3" t="n">
        <v>6</v>
      </c>
      <c r="E32" s="3" t="n">
        <v>221</v>
      </c>
      <c r="F32" s="3" t="n">
        <v>5</v>
      </c>
    </row>
    <row r="33" customFormat="false" ht="15" hidden="false" customHeight="true" outlineLevel="0" collapsed="false">
      <c r="A33" s="3" t="s">
        <v>6</v>
      </c>
      <c r="B33" s="3" t="n">
        <v>2</v>
      </c>
      <c r="C33" s="3" t="s">
        <v>8</v>
      </c>
      <c r="D33" s="3" t="n">
        <v>7</v>
      </c>
      <c r="E33" s="3" t="n">
        <v>729</v>
      </c>
      <c r="F33" s="3" t="n">
        <v>16</v>
      </c>
    </row>
    <row r="34" customFormat="false" ht="15" hidden="false" customHeight="true" outlineLevel="0" collapsed="false">
      <c r="A34" s="3" t="s">
        <v>6</v>
      </c>
      <c r="B34" s="3" t="n">
        <v>2</v>
      </c>
      <c r="C34" s="3" t="s">
        <v>8</v>
      </c>
      <c r="D34" s="3" t="n">
        <v>8</v>
      </c>
      <c r="E34" s="3" t="n">
        <v>2412</v>
      </c>
      <c r="F34" s="3" t="n">
        <v>44</v>
      </c>
    </row>
    <row r="35" customFormat="false" ht="15" hidden="false" customHeight="true" outlineLevel="0" collapsed="false">
      <c r="A35" s="3" t="s">
        <v>6</v>
      </c>
      <c r="B35" s="3" t="n">
        <v>2</v>
      </c>
      <c r="C35" s="3" t="s">
        <v>8</v>
      </c>
      <c r="D35" s="3" t="n">
        <v>9</v>
      </c>
      <c r="E35" s="3" t="n">
        <v>4440</v>
      </c>
      <c r="F35" s="3" t="n">
        <v>105</v>
      </c>
    </row>
    <row r="36" customFormat="false" ht="15" hidden="false" customHeight="true" outlineLevel="0" collapsed="false">
      <c r="A36" s="3" t="s">
        <v>6</v>
      </c>
      <c r="B36" s="3" t="n">
        <v>2</v>
      </c>
      <c r="C36" s="3" t="s">
        <v>8</v>
      </c>
      <c r="D36" s="3" t="n">
        <v>10</v>
      </c>
      <c r="E36" s="3" t="n">
        <v>5773</v>
      </c>
      <c r="F36" s="3" t="n">
        <v>122</v>
      </c>
    </row>
    <row r="37" customFormat="false" ht="15" hidden="false" customHeight="true" outlineLevel="0" collapsed="false">
      <c r="A37" s="3" t="s">
        <v>6</v>
      </c>
      <c r="B37" s="3" t="n">
        <v>2</v>
      </c>
      <c r="C37" s="3" t="s">
        <v>8</v>
      </c>
      <c r="D37" s="3" t="n">
        <v>11</v>
      </c>
      <c r="E37" s="3" t="n">
        <v>6481</v>
      </c>
      <c r="F37" s="3" t="n">
        <v>176</v>
      </c>
    </row>
    <row r="38" customFormat="false" ht="15" hidden="false" customHeight="true" outlineLevel="0" collapsed="false">
      <c r="A38" s="3" t="s">
        <v>6</v>
      </c>
      <c r="B38" s="3" t="n">
        <v>2</v>
      </c>
      <c r="C38" s="3" t="s">
        <v>8</v>
      </c>
      <c r="D38" s="3" t="n">
        <v>12</v>
      </c>
      <c r="E38" s="3" t="n">
        <v>6588</v>
      </c>
      <c r="F38" s="3" t="n">
        <v>205</v>
      </c>
    </row>
    <row r="39" customFormat="false" ht="15" hidden="false" customHeight="true" outlineLevel="0" collapsed="false">
      <c r="A39" s="3" t="s">
        <v>6</v>
      </c>
      <c r="B39" s="3" t="n">
        <v>2</v>
      </c>
      <c r="C39" s="3" t="s">
        <v>8</v>
      </c>
      <c r="D39" s="3" t="n">
        <v>13</v>
      </c>
      <c r="E39" s="3" t="n">
        <v>6491</v>
      </c>
      <c r="F39" s="3" t="n">
        <v>210</v>
      </c>
    </row>
    <row r="40" customFormat="false" ht="15" hidden="false" customHeight="true" outlineLevel="0" collapsed="false">
      <c r="A40" s="3" t="s">
        <v>6</v>
      </c>
      <c r="B40" s="3" t="n">
        <v>2</v>
      </c>
      <c r="C40" s="3" t="s">
        <v>8</v>
      </c>
      <c r="D40" s="3" t="n">
        <v>14</v>
      </c>
      <c r="E40" s="3" t="n">
        <v>6371</v>
      </c>
      <c r="F40" s="3" t="n">
        <v>230</v>
      </c>
    </row>
    <row r="41" customFormat="false" ht="15" hidden="false" customHeight="true" outlineLevel="0" collapsed="false">
      <c r="A41" s="3" t="s">
        <v>6</v>
      </c>
      <c r="B41" s="3" t="n">
        <v>2</v>
      </c>
      <c r="C41" s="3" t="s">
        <v>8</v>
      </c>
      <c r="D41" s="3" t="n">
        <v>15</v>
      </c>
      <c r="E41" s="3" t="n">
        <v>5656</v>
      </c>
      <c r="F41" s="3" t="n">
        <v>233</v>
      </c>
    </row>
    <row r="42" customFormat="false" ht="15" hidden="false" customHeight="true" outlineLevel="0" collapsed="false">
      <c r="A42" s="3" t="s">
        <v>6</v>
      </c>
      <c r="B42" s="3" t="n">
        <v>2</v>
      </c>
      <c r="C42" s="3" t="s">
        <v>8</v>
      </c>
      <c r="D42" s="3" t="n">
        <v>16</v>
      </c>
      <c r="E42" s="3" t="n">
        <v>4103</v>
      </c>
      <c r="F42" s="3" t="n">
        <v>187</v>
      </c>
    </row>
    <row r="43" customFormat="false" ht="15" hidden="false" customHeight="true" outlineLevel="0" collapsed="false">
      <c r="A43" s="3" t="s">
        <v>6</v>
      </c>
      <c r="B43" s="3" t="n">
        <v>2</v>
      </c>
      <c r="C43" s="3" t="s">
        <v>8</v>
      </c>
      <c r="D43" s="3" t="n">
        <v>17</v>
      </c>
      <c r="E43" s="3" t="n">
        <v>4084</v>
      </c>
      <c r="F43" s="3" t="n">
        <v>144</v>
      </c>
    </row>
    <row r="44" customFormat="false" ht="15" hidden="false" customHeight="true" outlineLevel="0" collapsed="false">
      <c r="A44" s="3" t="s">
        <v>6</v>
      </c>
      <c r="B44" s="3" t="n">
        <v>2</v>
      </c>
      <c r="C44" s="3" t="s">
        <v>8</v>
      </c>
      <c r="D44" s="3" t="n">
        <v>18</v>
      </c>
      <c r="E44" s="3" t="n">
        <v>3621</v>
      </c>
      <c r="F44" s="3" t="n">
        <v>131</v>
      </c>
    </row>
    <row r="45" customFormat="false" ht="15" hidden="false" customHeight="true" outlineLevel="0" collapsed="false">
      <c r="A45" s="3" t="s">
        <v>6</v>
      </c>
      <c r="B45" s="3" t="n">
        <v>2</v>
      </c>
      <c r="C45" s="3" t="s">
        <v>8</v>
      </c>
      <c r="D45" s="3" t="n">
        <v>19</v>
      </c>
      <c r="E45" s="3" t="n">
        <v>3298</v>
      </c>
      <c r="F45" s="3" t="n">
        <v>94</v>
      </c>
    </row>
    <row r="46" customFormat="false" ht="15" hidden="false" customHeight="true" outlineLevel="0" collapsed="false">
      <c r="A46" s="3" t="s">
        <v>6</v>
      </c>
      <c r="B46" s="3" t="n">
        <v>2</v>
      </c>
      <c r="C46" s="3" t="s">
        <v>8</v>
      </c>
      <c r="D46" s="3" t="n">
        <v>20</v>
      </c>
      <c r="E46" s="3" t="n">
        <v>3397</v>
      </c>
      <c r="F46" s="3" t="n">
        <v>92</v>
      </c>
    </row>
    <row r="47" customFormat="false" ht="15" hidden="false" customHeight="true" outlineLevel="0" collapsed="false">
      <c r="A47" s="3" t="s">
        <v>6</v>
      </c>
      <c r="B47" s="3" t="n">
        <v>2</v>
      </c>
      <c r="C47" s="3" t="s">
        <v>8</v>
      </c>
      <c r="D47" s="3" t="n">
        <v>21</v>
      </c>
      <c r="E47" s="3" t="n">
        <v>3898</v>
      </c>
      <c r="F47" s="3" t="n">
        <v>93</v>
      </c>
    </row>
    <row r="48" customFormat="false" ht="15" hidden="false" customHeight="true" outlineLevel="0" collapsed="false">
      <c r="A48" s="3" t="s">
        <v>6</v>
      </c>
      <c r="B48" s="3" t="n">
        <v>2</v>
      </c>
      <c r="C48" s="3" t="s">
        <v>8</v>
      </c>
      <c r="D48" s="3" t="n">
        <v>22</v>
      </c>
      <c r="E48" s="3" t="n">
        <v>2639</v>
      </c>
      <c r="F48" s="3" t="n">
        <v>91</v>
      </c>
    </row>
    <row r="49" customFormat="false" ht="15" hidden="false" customHeight="true" outlineLevel="0" collapsed="false">
      <c r="A49" s="3" t="s">
        <v>6</v>
      </c>
      <c r="B49" s="3" t="n">
        <v>2</v>
      </c>
      <c r="C49" s="3" t="s">
        <v>8</v>
      </c>
      <c r="D49" s="3" t="n">
        <v>23</v>
      </c>
      <c r="E49" s="3" t="n">
        <v>1785</v>
      </c>
      <c r="F49" s="3" t="n">
        <v>55</v>
      </c>
    </row>
    <row r="50" customFormat="false" ht="15" hidden="false" customHeight="true" outlineLevel="0" collapsed="false">
      <c r="A50" s="3" t="s">
        <v>6</v>
      </c>
      <c r="B50" s="3" t="n">
        <v>3</v>
      </c>
      <c r="C50" s="3" t="s">
        <v>9</v>
      </c>
      <c r="D50" s="3" t="n">
        <v>0</v>
      </c>
      <c r="E50" s="3" t="n">
        <v>588</v>
      </c>
      <c r="F50" s="3" t="n">
        <v>7</v>
      </c>
    </row>
    <row r="51" customFormat="false" ht="15" hidden="false" customHeight="true" outlineLevel="0" collapsed="false">
      <c r="A51" s="3" t="s">
        <v>6</v>
      </c>
      <c r="B51" s="3" t="n">
        <v>3</v>
      </c>
      <c r="C51" s="3" t="s">
        <v>9</v>
      </c>
      <c r="D51" s="3" t="n">
        <v>1</v>
      </c>
      <c r="E51" s="3" t="n">
        <v>596</v>
      </c>
      <c r="F51" s="3" t="n">
        <v>5</v>
      </c>
    </row>
    <row r="52" customFormat="false" ht="15" hidden="false" customHeight="true" outlineLevel="0" collapsed="false">
      <c r="A52" s="3" t="s">
        <v>6</v>
      </c>
      <c r="B52" s="3" t="n">
        <v>3</v>
      </c>
      <c r="C52" s="3" t="s">
        <v>9</v>
      </c>
      <c r="D52" s="3" t="n">
        <v>2</v>
      </c>
      <c r="E52" s="3" t="n">
        <v>619</v>
      </c>
      <c r="F52" s="3" t="n">
        <v>3</v>
      </c>
    </row>
    <row r="53" customFormat="false" ht="15" hidden="false" customHeight="true" outlineLevel="0" collapsed="false">
      <c r="A53" s="3" t="s">
        <v>6</v>
      </c>
      <c r="B53" s="3" t="n">
        <v>3</v>
      </c>
      <c r="C53" s="3" t="s">
        <v>9</v>
      </c>
      <c r="D53" s="3" t="n">
        <v>3</v>
      </c>
      <c r="E53" s="3" t="n">
        <v>330</v>
      </c>
      <c r="F53" s="3" t="n">
        <v>1</v>
      </c>
    </row>
    <row r="54" customFormat="false" ht="15" hidden="false" customHeight="true" outlineLevel="0" collapsed="false">
      <c r="A54" s="3" t="s">
        <v>6</v>
      </c>
      <c r="B54" s="3" t="n">
        <v>3</v>
      </c>
      <c r="C54" s="3" t="s">
        <v>9</v>
      </c>
      <c r="D54" s="3" t="n">
        <v>4</v>
      </c>
      <c r="E54" s="3" t="n">
        <v>100</v>
      </c>
      <c r="F54" s="3" t="n">
        <v>2</v>
      </c>
    </row>
    <row r="55" customFormat="false" ht="15" hidden="false" customHeight="true" outlineLevel="0" collapsed="false">
      <c r="A55" s="3" t="s">
        <v>6</v>
      </c>
      <c r="B55" s="3" t="n">
        <v>3</v>
      </c>
      <c r="C55" s="3" t="s">
        <v>9</v>
      </c>
      <c r="D55" s="3" t="n">
        <v>5</v>
      </c>
      <c r="E55" s="3" t="n">
        <v>140</v>
      </c>
      <c r="F55" s="3" t="n">
        <v>1</v>
      </c>
    </row>
    <row r="56" customFormat="false" ht="15" hidden="false" customHeight="true" outlineLevel="0" collapsed="false">
      <c r="A56" s="3" t="s">
        <v>6</v>
      </c>
      <c r="B56" s="3" t="n">
        <v>3</v>
      </c>
      <c r="C56" s="3" t="s">
        <v>9</v>
      </c>
      <c r="D56" s="3" t="n">
        <v>6</v>
      </c>
      <c r="E56" s="3" t="n">
        <v>358</v>
      </c>
      <c r="F56" s="3" t="n">
        <v>5</v>
      </c>
    </row>
    <row r="57" customFormat="false" ht="15" hidden="false" customHeight="true" outlineLevel="0" collapsed="false">
      <c r="A57" s="3" t="s">
        <v>6</v>
      </c>
      <c r="B57" s="3" t="n">
        <v>3</v>
      </c>
      <c r="C57" s="3" t="s">
        <v>9</v>
      </c>
      <c r="D57" s="3" t="n">
        <v>7</v>
      </c>
      <c r="E57" s="3" t="n">
        <v>840</v>
      </c>
      <c r="F57" s="3" t="n">
        <v>10</v>
      </c>
    </row>
    <row r="58" customFormat="false" ht="15" hidden="false" customHeight="true" outlineLevel="0" collapsed="false">
      <c r="A58" s="3" t="s">
        <v>6</v>
      </c>
      <c r="B58" s="3" t="n">
        <v>3</v>
      </c>
      <c r="C58" s="3" t="s">
        <v>9</v>
      </c>
      <c r="D58" s="3" t="n">
        <v>8</v>
      </c>
      <c r="E58" s="3" t="n">
        <v>2287</v>
      </c>
      <c r="F58" s="3" t="n">
        <v>38</v>
      </c>
    </row>
    <row r="59" customFormat="false" ht="15" hidden="false" customHeight="true" outlineLevel="0" collapsed="false">
      <c r="A59" s="3" t="s">
        <v>6</v>
      </c>
      <c r="B59" s="3" t="n">
        <v>3</v>
      </c>
      <c r="C59" s="3" t="s">
        <v>9</v>
      </c>
      <c r="D59" s="3" t="n">
        <v>9</v>
      </c>
      <c r="E59" s="3" t="n">
        <v>4625</v>
      </c>
      <c r="F59" s="3" t="n">
        <v>79</v>
      </c>
    </row>
    <row r="60" customFormat="false" ht="15" hidden="false" customHeight="true" outlineLevel="0" collapsed="false">
      <c r="A60" s="3" t="s">
        <v>6</v>
      </c>
      <c r="B60" s="3" t="n">
        <v>3</v>
      </c>
      <c r="C60" s="3" t="s">
        <v>9</v>
      </c>
      <c r="D60" s="3" t="n">
        <v>10</v>
      </c>
      <c r="E60" s="3" t="n">
        <v>5812</v>
      </c>
      <c r="F60" s="3" t="n">
        <v>148</v>
      </c>
    </row>
    <row r="61" customFormat="false" ht="15" hidden="false" customHeight="true" outlineLevel="0" collapsed="false">
      <c r="A61" s="3" t="s">
        <v>6</v>
      </c>
      <c r="B61" s="3" t="n">
        <v>3</v>
      </c>
      <c r="C61" s="3" t="s">
        <v>9</v>
      </c>
      <c r="D61" s="3" t="n">
        <v>11</v>
      </c>
      <c r="E61" s="3" t="n">
        <v>6852</v>
      </c>
      <c r="F61" s="3" t="n">
        <v>167</v>
      </c>
    </row>
    <row r="62" customFormat="false" ht="15" hidden="false" customHeight="true" outlineLevel="0" collapsed="false">
      <c r="A62" s="3" t="s">
        <v>6</v>
      </c>
      <c r="B62" s="3" t="n">
        <v>3</v>
      </c>
      <c r="C62" s="3" t="s">
        <v>9</v>
      </c>
      <c r="D62" s="3" t="n">
        <v>12</v>
      </c>
      <c r="E62" s="3" t="n">
        <v>6938</v>
      </c>
      <c r="F62" s="3" t="n">
        <v>178</v>
      </c>
    </row>
    <row r="63" customFormat="false" ht="15" hidden="false" customHeight="true" outlineLevel="0" collapsed="false">
      <c r="A63" s="3" t="s">
        <v>6</v>
      </c>
      <c r="B63" s="3" t="n">
        <v>3</v>
      </c>
      <c r="C63" s="3" t="s">
        <v>9</v>
      </c>
      <c r="D63" s="3" t="n">
        <v>13</v>
      </c>
      <c r="E63" s="3" t="n">
        <v>6508</v>
      </c>
      <c r="F63" s="3" t="n">
        <v>165</v>
      </c>
    </row>
    <row r="64" customFormat="false" ht="15" hidden="false" customHeight="true" outlineLevel="0" collapsed="false">
      <c r="A64" s="3" t="s">
        <v>6</v>
      </c>
      <c r="B64" s="3" t="n">
        <v>3</v>
      </c>
      <c r="C64" s="3" t="s">
        <v>9</v>
      </c>
      <c r="D64" s="3" t="n">
        <v>14</v>
      </c>
      <c r="E64" s="3" t="n">
        <v>5372</v>
      </c>
      <c r="F64" s="3" t="n">
        <v>160</v>
      </c>
    </row>
    <row r="65" customFormat="false" ht="15" hidden="false" customHeight="true" outlineLevel="0" collapsed="false">
      <c r="A65" s="3" t="s">
        <v>6</v>
      </c>
      <c r="B65" s="3" t="n">
        <v>3</v>
      </c>
      <c r="C65" s="3" t="s">
        <v>9</v>
      </c>
      <c r="D65" s="3" t="n">
        <v>15</v>
      </c>
      <c r="E65" s="3" t="n">
        <v>5734</v>
      </c>
      <c r="F65" s="3" t="n">
        <v>172</v>
      </c>
    </row>
    <row r="66" customFormat="false" ht="15" hidden="false" customHeight="true" outlineLevel="0" collapsed="false">
      <c r="A66" s="3" t="s">
        <v>6</v>
      </c>
      <c r="B66" s="3" t="n">
        <v>3</v>
      </c>
      <c r="C66" s="3" t="s">
        <v>9</v>
      </c>
      <c r="D66" s="3" t="n">
        <v>16</v>
      </c>
      <c r="E66" s="3" t="n">
        <v>4616</v>
      </c>
      <c r="F66" s="3" t="n">
        <v>165</v>
      </c>
    </row>
    <row r="67" customFormat="false" ht="15" hidden="false" customHeight="true" outlineLevel="0" collapsed="false">
      <c r="A67" s="3" t="s">
        <v>6</v>
      </c>
      <c r="B67" s="3" t="n">
        <v>3</v>
      </c>
      <c r="C67" s="3" t="s">
        <v>9</v>
      </c>
      <c r="D67" s="3" t="n">
        <v>17</v>
      </c>
      <c r="E67" s="3" t="n">
        <v>4334</v>
      </c>
      <c r="F67" s="3" t="n">
        <v>140</v>
      </c>
    </row>
    <row r="68" customFormat="false" ht="15" hidden="false" customHeight="true" outlineLevel="0" collapsed="false">
      <c r="A68" s="3" t="s">
        <v>6</v>
      </c>
      <c r="B68" s="3" t="n">
        <v>3</v>
      </c>
      <c r="C68" s="3" t="s">
        <v>9</v>
      </c>
      <c r="D68" s="3" t="n">
        <v>18</v>
      </c>
      <c r="E68" s="3" t="n">
        <v>4073</v>
      </c>
      <c r="F68" s="3" t="n">
        <v>112</v>
      </c>
    </row>
    <row r="69" customFormat="false" ht="15" hidden="false" customHeight="true" outlineLevel="0" collapsed="false">
      <c r="A69" s="3" t="s">
        <v>6</v>
      </c>
      <c r="B69" s="3" t="n">
        <v>3</v>
      </c>
      <c r="C69" s="3" t="s">
        <v>9</v>
      </c>
      <c r="D69" s="3" t="n">
        <v>19</v>
      </c>
      <c r="E69" s="3" t="n">
        <v>3894</v>
      </c>
      <c r="F69" s="3" t="n">
        <v>81</v>
      </c>
    </row>
    <row r="70" customFormat="false" ht="15" hidden="false" customHeight="true" outlineLevel="0" collapsed="false">
      <c r="A70" s="3" t="s">
        <v>6</v>
      </c>
      <c r="B70" s="3" t="n">
        <v>3</v>
      </c>
      <c r="C70" s="3" t="s">
        <v>9</v>
      </c>
      <c r="D70" s="3" t="n">
        <v>20</v>
      </c>
      <c r="E70" s="3" t="n">
        <v>3290</v>
      </c>
      <c r="F70" s="3" t="n">
        <v>85</v>
      </c>
    </row>
    <row r="71" customFormat="false" ht="15" hidden="false" customHeight="true" outlineLevel="0" collapsed="false">
      <c r="A71" s="3" t="s">
        <v>6</v>
      </c>
      <c r="B71" s="3" t="n">
        <v>3</v>
      </c>
      <c r="C71" s="3" t="s">
        <v>9</v>
      </c>
      <c r="D71" s="3" t="n">
        <v>21</v>
      </c>
      <c r="E71" s="3" t="n">
        <v>3351</v>
      </c>
      <c r="F71" s="3" t="n">
        <v>92</v>
      </c>
    </row>
    <row r="72" customFormat="false" ht="15" hidden="false" customHeight="true" outlineLevel="0" collapsed="false">
      <c r="A72" s="3" t="s">
        <v>6</v>
      </c>
      <c r="B72" s="3" t="n">
        <v>3</v>
      </c>
      <c r="C72" s="3" t="s">
        <v>9</v>
      </c>
      <c r="D72" s="3" t="n">
        <v>22</v>
      </c>
      <c r="E72" s="3" t="n">
        <v>3277</v>
      </c>
      <c r="F72" s="3" t="n">
        <v>83</v>
      </c>
    </row>
    <row r="73" customFormat="false" ht="15" hidden="false" customHeight="true" outlineLevel="0" collapsed="false">
      <c r="A73" s="3" t="s">
        <v>6</v>
      </c>
      <c r="B73" s="3" t="n">
        <v>3</v>
      </c>
      <c r="C73" s="3" t="s">
        <v>9</v>
      </c>
      <c r="D73" s="3" t="n">
        <v>23</v>
      </c>
      <c r="E73" s="3" t="n">
        <v>2884</v>
      </c>
      <c r="F73" s="3" t="n">
        <v>64</v>
      </c>
    </row>
    <row r="74" customFormat="false" ht="15" hidden="false" customHeight="true" outlineLevel="0" collapsed="false">
      <c r="A74" s="3" t="s">
        <v>6</v>
      </c>
      <c r="B74" s="3" t="n">
        <v>4</v>
      </c>
      <c r="C74" s="3" t="s">
        <v>10</v>
      </c>
      <c r="D74" s="3" t="n">
        <v>0</v>
      </c>
      <c r="E74" s="3" t="n">
        <v>708</v>
      </c>
      <c r="F74" s="3" t="n">
        <v>18</v>
      </c>
    </row>
    <row r="75" customFormat="false" ht="15" hidden="false" customHeight="true" outlineLevel="0" collapsed="false">
      <c r="A75" s="3" t="s">
        <v>6</v>
      </c>
      <c r="B75" s="3" t="n">
        <v>4</v>
      </c>
      <c r="C75" s="3" t="s">
        <v>10</v>
      </c>
      <c r="D75" s="3" t="n">
        <v>1</v>
      </c>
      <c r="E75" s="3" t="n">
        <v>691</v>
      </c>
      <c r="F75" s="3" t="n">
        <v>13</v>
      </c>
    </row>
    <row r="76" customFormat="false" ht="15" hidden="false" customHeight="true" outlineLevel="0" collapsed="false">
      <c r="A76" s="3" t="s">
        <v>6</v>
      </c>
      <c r="B76" s="3" t="n">
        <v>4</v>
      </c>
      <c r="C76" s="3" t="s">
        <v>10</v>
      </c>
      <c r="D76" s="3" t="n">
        <v>2</v>
      </c>
      <c r="E76" s="3" t="n">
        <v>683</v>
      </c>
      <c r="F76" s="3" t="n">
        <v>9</v>
      </c>
    </row>
    <row r="77" customFormat="false" ht="15" hidden="false" customHeight="true" outlineLevel="0" collapsed="false">
      <c r="A77" s="3" t="s">
        <v>6</v>
      </c>
      <c r="B77" s="3" t="n">
        <v>4</v>
      </c>
      <c r="C77" s="3" t="s">
        <v>10</v>
      </c>
      <c r="D77" s="3" t="n">
        <v>3</v>
      </c>
      <c r="E77" s="3" t="n">
        <v>363</v>
      </c>
      <c r="F77" s="3" t="n">
        <v>2</v>
      </c>
    </row>
    <row r="78" customFormat="false" ht="15" hidden="false" customHeight="true" outlineLevel="0" collapsed="false">
      <c r="A78" s="3" t="s">
        <v>6</v>
      </c>
      <c r="B78" s="3" t="n">
        <v>4</v>
      </c>
      <c r="C78" s="3" t="s">
        <v>10</v>
      </c>
      <c r="D78" s="3" t="n">
        <v>4</v>
      </c>
      <c r="E78" s="3" t="n">
        <v>109</v>
      </c>
      <c r="F78" s="3" t="n">
        <v>3</v>
      </c>
    </row>
    <row r="79" customFormat="false" ht="15" hidden="false" customHeight="true" outlineLevel="0" collapsed="false">
      <c r="A79" s="3" t="s">
        <v>6</v>
      </c>
      <c r="B79" s="3" t="n">
        <v>4</v>
      </c>
      <c r="C79" s="3" t="s">
        <v>10</v>
      </c>
      <c r="D79" s="3" t="n">
        <v>5</v>
      </c>
      <c r="E79" s="3" t="n">
        <v>91</v>
      </c>
      <c r="F79" s="3" t="n">
        <v>2</v>
      </c>
    </row>
    <row r="80" customFormat="false" ht="15" hidden="false" customHeight="true" outlineLevel="0" collapsed="false">
      <c r="A80" s="3" t="s">
        <v>6</v>
      </c>
      <c r="B80" s="3" t="n">
        <v>4</v>
      </c>
      <c r="C80" s="3" t="s">
        <v>10</v>
      </c>
      <c r="D80" s="3" t="n">
        <v>6</v>
      </c>
      <c r="E80" s="3" t="n">
        <v>285</v>
      </c>
      <c r="F80" s="3" t="n">
        <v>6</v>
      </c>
    </row>
    <row r="81" customFormat="false" ht="15" hidden="false" customHeight="true" outlineLevel="0" collapsed="false">
      <c r="A81" s="3" t="s">
        <v>6</v>
      </c>
      <c r="B81" s="3" t="n">
        <v>4</v>
      </c>
      <c r="C81" s="3" t="s">
        <v>10</v>
      </c>
      <c r="D81" s="3" t="n">
        <v>7</v>
      </c>
      <c r="E81" s="3" t="n">
        <v>1005</v>
      </c>
      <c r="F81" s="3" t="n">
        <v>16</v>
      </c>
    </row>
    <row r="82" customFormat="false" ht="15" hidden="false" customHeight="true" outlineLevel="0" collapsed="false">
      <c r="A82" s="3" t="s">
        <v>6</v>
      </c>
      <c r="B82" s="3" t="n">
        <v>4</v>
      </c>
      <c r="C82" s="3" t="s">
        <v>10</v>
      </c>
      <c r="D82" s="3" t="n">
        <v>8</v>
      </c>
      <c r="E82" s="3" t="n">
        <v>2722</v>
      </c>
      <c r="F82" s="3" t="n">
        <v>41</v>
      </c>
    </row>
    <row r="83" customFormat="false" ht="15" hidden="false" customHeight="true" outlineLevel="0" collapsed="false">
      <c r="A83" s="3" t="s">
        <v>6</v>
      </c>
      <c r="B83" s="3" t="n">
        <v>4</v>
      </c>
      <c r="C83" s="3" t="s">
        <v>10</v>
      </c>
      <c r="D83" s="3" t="n">
        <v>9</v>
      </c>
      <c r="E83" s="3" t="n">
        <v>4404</v>
      </c>
      <c r="F83" s="3" t="n">
        <v>70</v>
      </c>
    </row>
    <row r="84" customFormat="false" ht="15" hidden="false" customHeight="true" outlineLevel="0" collapsed="false">
      <c r="A84" s="3" t="s">
        <v>6</v>
      </c>
      <c r="B84" s="3" t="n">
        <v>4</v>
      </c>
      <c r="C84" s="3" t="s">
        <v>10</v>
      </c>
      <c r="D84" s="3" t="n">
        <v>10</v>
      </c>
      <c r="E84" s="3" t="n">
        <v>4945</v>
      </c>
      <c r="F84" s="3" t="n">
        <v>85</v>
      </c>
    </row>
    <row r="85" customFormat="false" ht="15" hidden="false" customHeight="true" outlineLevel="0" collapsed="false">
      <c r="A85" s="3" t="s">
        <v>6</v>
      </c>
      <c r="B85" s="3" t="n">
        <v>4</v>
      </c>
      <c r="C85" s="3" t="s">
        <v>10</v>
      </c>
      <c r="D85" s="3" t="n">
        <v>11</v>
      </c>
      <c r="E85" s="3" t="n">
        <v>5171</v>
      </c>
      <c r="F85" s="3" t="n">
        <v>118</v>
      </c>
    </row>
    <row r="86" customFormat="false" ht="15" hidden="false" customHeight="true" outlineLevel="0" collapsed="false">
      <c r="A86" s="3" t="s">
        <v>6</v>
      </c>
      <c r="B86" s="3" t="n">
        <v>4</v>
      </c>
      <c r="C86" s="3" t="s">
        <v>10</v>
      </c>
      <c r="D86" s="3" t="n">
        <v>12</v>
      </c>
      <c r="E86" s="3" t="n">
        <v>5892</v>
      </c>
      <c r="F86" s="3" t="n">
        <v>115</v>
      </c>
    </row>
    <row r="87" customFormat="false" ht="15" hidden="false" customHeight="true" outlineLevel="0" collapsed="false">
      <c r="A87" s="3" t="s">
        <v>6</v>
      </c>
      <c r="B87" s="3" t="n">
        <v>4</v>
      </c>
      <c r="C87" s="3" t="s">
        <v>10</v>
      </c>
      <c r="D87" s="3" t="n">
        <v>13</v>
      </c>
      <c r="E87" s="3" t="n">
        <v>6374</v>
      </c>
      <c r="F87" s="3" t="n">
        <v>124</v>
      </c>
    </row>
    <row r="88" customFormat="false" ht="15" hidden="false" customHeight="true" outlineLevel="0" collapsed="false">
      <c r="A88" s="3" t="s">
        <v>6</v>
      </c>
      <c r="B88" s="3" t="n">
        <v>4</v>
      </c>
      <c r="C88" s="3" t="s">
        <v>10</v>
      </c>
      <c r="D88" s="3" t="n">
        <v>14</v>
      </c>
      <c r="E88" s="3" t="n">
        <v>6543</v>
      </c>
      <c r="F88" s="3" t="n">
        <v>167</v>
      </c>
    </row>
    <row r="89" customFormat="false" ht="15" hidden="false" customHeight="true" outlineLevel="0" collapsed="false">
      <c r="A89" s="3" t="s">
        <v>6</v>
      </c>
      <c r="B89" s="3" t="n">
        <v>4</v>
      </c>
      <c r="C89" s="3" t="s">
        <v>10</v>
      </c>
      <c r="D89" s="3" t="n">
        <v>15</v>
      </c>
      <c r="E89" s="3" t="n">
        <v>5980</v>
      </c>
      <c r="F89" s="3" t="n">
        <v>147</v>
      </c>
    </row>
    <row r="90" customFormat="false" ht="15" hidden="false" customHeight="true" outlineLevel="0" collapsed="false">
      <c r="A90" s="3" t="s">
        <v>6</v>
      </c>
      <c r="B90" s="3" t="n">
        <v>4</v>
      </c>
      <c r="C90" s="3" t="s">
        <v>10</v>
      </c>
      <c r="D90" s="3" t="n">
        <v>16</v>
      </c>
      <c r="E90" s="3" t="n">
        <v>5523</v>
      </c>
      <c r="F90" s="3" t="n">
        <v>145</v>
      </c>
    </row>
    <row r="91" customFormat="false" ht="15" hidden="false" customHeight="true" outlineLevel="0" collapsed="false">
      <c r="A91" s="3" t="s">
        <v>6</v>
      </c>
      <c r="B91" s="3" t="n">
        <v>4</v>
      </c>
      <c r="C91" s="3" t="s">
        <v>10</v>
      </c>
      <c r="D91" s="3" t="n">
        <v>17</v>
      </c>
      <c r="E91" s="3" t="n">
        <v>4801</v>
      </c>
      <c r="F91" s="3" t="n">
        <v>103</v>
      </c>
    </row>
    <row r="92" customFormat="false" ht="15" hidden="false" customHeight="true" outlineLevel="0" collapsed="false">
      <c r="A92" s="3" t="s">
        <v>6</v>
      </c>
      <c r="B92" s="3" t="n">
        <v>4</v>
      </c>
      <c r="C92" s="3" t="s">
        <v>10</v>
      </c>
      <c r="D92" s="3" t="n">
        <v>18</v>
      </c>
      <c r="E92" s="3" t="n">
        <v>4303</v>
      </c>
      <c r="F92" s="3" t="n">
        <v>98</v>
      </c>
    </row>
    <row r="93" customFormat="false" ht="15" hidden="false" customHeight="true" outlineLevel="0" collapsed="false">
      <c r="A93" s="3" t="s">
        <v>6</v>
      </c>
      <c r="B93" s="3" t="n">
        <v>4</v>
      </c>
      <c r="C93" s="3" t="s">
        <v>10</v>
      </c>
      <c r="D93" s="3" t="n">
        <v>19</v>
      </c>
      <c r="E93" s="3" t="n">
        <v>3970</v>
      </c>
      <c r="F93" s="3" t="n">
        <v>96</v>
      </c>
    </row>
    <row r="94" customFormat="false" ht="15" hidden="false" customHeight="true" outlineLevel="0" collapsed="false">
      <c r="A94" s="3" t="s">
        <v>6</v>
      </c>
      <c r="B94" s="3" t="n">
        <v>4</v>
      </c>
      <c r="C94" s="3" t="s">
        <v>10</v>
      </c>
      <c r="D94" s="3" t="n">
        <v>20</v>
      </c>
      <c r="E94" s="3" t="n">
        <v>3801</v>
      </c>
      <c r="F94" s="3" t="n">
        <v>109</v>
      </c>
    </row>
    <row r="95" customFormat="false" ht="15" hidden="false" customHeight="true" outlineLevel="0" collapsed="false">
      <c r="A95" s="3" t="s">
        <v>6</v>
      </c>
      <c r="B95" s="3" t="n">
        <v>4</v>
      </c>
      <c r="C95" s="3" t="s">
        <v>10</v>
      </c>
      <c r="D95" s="3" t="n">
        <v>21</v>
      </c>
      <c r="E95" s="3" t="n">
        <v>4222</v>
      </c>
      <c r="F95" s="3" t="n">
        <v>88</v>
      </c>
    </row>
    <row r="96" customFormat="false" ht="15" hidden="false" customHeight="true" outlineLevel="0" collapsed="false">
      <c r="A96" s="3" t="s">
        <v>6</v>
      </c>
      <c r="B96" s="3" t="n">
        <v>4</v>
      </c>
      <c r="C96" s="3" t="s">
        <v>10</v>
      </c>
      <c r="D96" s="3" t="n">
        <v>22</v>
      </c>
      <c r="E96" s="3" t="n">
        <v>3680</v>
      </c>
      <c r="F96" s="3" t="n">
        <v>80</v>
      </c>
    </row>
    <row r="97" customFormat="false" ht="15" hidden="false" customHeight="true" outlineLevel="0" collapsed="false">
      <c r="A97" s="3" t="s">
        <v>6</v>
      </c>
      <c r="B97" s="3" t="n">
        <v>4</v>
      </c>
      <c r="C97" s="3" t="s">
        <v>10</v>
      </c>
      <c r="D97" s="3" t="n">
        <v>23</v>
      </c>
      <c r="E97" s="3" t="n">
        <v>2811</v>
      </c>
      <c r="F97" s="3" t="n">
        <v>56</v>
      </c>
    </row>
    <row r="98" customFormat="false" ht="15" hidden="false" customHeight="true" outlineLevel="0" collapsed="false">
      <c r="A98" s="3" t="s">
        <v>6</v>
      </c>
      <c r="B98" s="3" t="n">
        <v>5</v>
      </c>
      <c r="C98" s="3" t="s">
        <v>11</v>
      </c>
      <c r="D98" s="3" t="n">
        <v>0</v>
      </c>
      <c r="E98" s="3" t="n">
        <v>807</v>
      </c>
      <c r="F98" s="3" t="n">
        <v>16</v>
      </c>
    </row>
    <row r="99" customFormat="false" ht="15" hidden="false" customHeight="true" outlineLevel="0" collapsed="false">
      <c r="A99" s="3" t="s">
        <v>6</v>
      </c>
      <c r="B99" s="3" t="n">
        <v>5</v>
      </c>
      <c r="C99" s="3" t="s">
        <v>11</v>
      </c>
      <c r="D99" s="3" t="n">
        <v>1</v>
      </c>
      <c r="E99" s="3" t="n">
        <v>662</v>
      </c>
      <c r="F99" s="3" t="n">
        <v>7</v>
      </c>
    </row>
    <row r="100" customFormat="false" ht="15" hidden="false" customHeight="true" outlineLevel="0" collapsed="false">
      <c r="A100" s="3" t="s">
        <v>6</v>
      </c>
      <c r="B100" s="3" t="n">
        <v>5</v>
      </c>
      <c r="C100" s="3" t="s">
        <v>11</v>
      </c>
      <c r="D100" s="3" t="n">
        <v>2</v>
      </c>
      <c r="E100" s="3" t="n">
        <v>825</v>
      </c>
      <c r="F100" s="3" t="n">
        <v>10</v>
      </c>
    </row>
    <row r="101" customFormat="false" ht="15" hidden="false" customHeight="true" outlineLevel="0" collapsed="false">
      <c r="A101" s="3" t="s">
        <v>6</v>
      </c>
      <c r="B101" s="3" t="n">
        <v>5</v>
      </c>
      <c r="C101" s="3" t="s">
        <v>11</v>
      </c>
      <c r="D101" s="3" t="n">
        <v>3</v>
      </c>
      <c r="E101" s="3" t="n">
        <v>515</v>
      </c>
      <c r="F101" s="3" t="n">
        <v>2</v>
      </c>
    </row>
    <row r="102" customFormat="false" ht="15" hidden="false" customHeight="true" outlineLevel="0" collapsed="false">
      <c r="A102" s="3" t="s">
        <v>6</v>
      </c>
      <c r="B102" s="3" t="n">
        <v>5</v>
      </c>
      <c r="C102" s="3" t="s">
        <v>11</v>
      </c>
      <c r="D102" s="3" t="n">
        <v>4</v>
      </c>
      <c r="E102" s="3" t="n">
        <v>118</v>
      </c>
      <c r="F102" s="3" t="n">
        <v>2</v>
      </c>
    </row>
    <row r="103" customFormat="false" ht="15" hidden="false" customHeight="true" outlineLevel="0" collapsed="false">
      <c r="A103" s="3" t="s">
        <v>6</v>
      </c>
      <c r="B103" s="3" t="n">
        <v>5</v>
      </c>
      <c r="C103" s="3" t="s">
        <v>11</v>
      </c>
      <c r="D103" s="3" t="n">
        <v>5</v>
      </c>
      <c r="E103" s="3" t="n">
        <v>129</v>
      </c>
      <c r="F103" s="3" t="n">
        <v>2</v>
      </c>
    </row>
    <row r="104" customFormat="false" ht="15" hidden="false" customHeight="true" outlineLevel="0" collapsed="false">
      <c r="A104" s="3" t="s">
        <v>6</v>
      </c>
      <c r="B104" s="3" t="n">
        <v>5</v>
      </c>
      <c r="C104" s="3" t="s">
        <v>11</v>
      </c>
      <c r="D104" s="3" t="n">
        <v>6</v>
      </c>
      <c r="E104" s="3" t="n">
        <v>330</v>
      </c>
      <c r="F104" s="3" t="n">
        <v>4</v>
      </c>
    </row>
    <row r="105" customFormat="false" ht="15" hidden="false" customHeight="true" outlineLevel="0" collapsed="false">
      <c r="A105" s="3" t="s">
        <v>6</v>
      </c>
      <c r="B105" s="3" t="n">
        <v>5</v>
      </c>
      <c r="C105" s="3" t="s">
        <v>11</v>
      </c>
      <c r="D105" s="3" t="n">
        <v>7</v>
      </c>
      <c r="E105" s="3" t="n">
        <v>1018</v>
      </c>
      <c r="F105" s="3" t="n">
        <v>19</v>
      </c>
    </row>
    <row r="106" customFormat="false" ht="15" hidden="false" customHeight="true" outlineLevel="0" collapsed="false">
      <c r="A106" s="3" t="s">
        <v>6</v>
      </c>
      <c r="B106" s="3" t="n">
        <v>5</v>
      </c>
      <c r="C106" s="3" t="s">
        <v>11</v>
      </c>
      <c r="D106" s="3" t="n">
        <v>8</v>
      </c>
      <c r="E106" s="3" t="n">
        <v>2358</v>
      </c>
      <c r="F106" s="3" t="n">
        <v>39</v>
      </c>
    </row>
    <row r="107" customFormat="false" ht="15" hidden="false" customHeight="true" outlineLevel="0" collapsed="false">
      <c r="A107" s="3" t="s">
        <v>6</v>
      </c>
      <c r="B107" s="3" t="n">
        <v>5</v>
      </c>
      <c r="C107" s="3" t="s">
        <v>11</v>
      </c>
      <c r="D107" s="3" t="n">
        <v>9</v>
      </c>
      <c r="E107" s="3" t="n">
        <v>4282</v>
      </c>
      <c r="F107" s="3" t="n">
        <v>86</v>
      </c>
    </row>
    <row r="108" customFormat="false" ht="15" hidden="false" customHeight="true" outlineLevel="0" collapsed="false">
      <c r="A108" s="3" t="s">
        <v>6</v>
      </c>
      <c r="B108" s="3" t="n">
        <v>5</v>
      </c>
      <c r="C108" s="3" t="s">
        <v>11</v>
      </c>
      <c r="D108" s="3" t="n">
        <v>10</v>
      </c>
      <c r="E108" s="3" t="n">
        <v>5353</v>
      </c>
      <c r="F108" s="3" t="n">
        <v>124</v>
      </c>
    </row>
    <row r="109" customFormat="false" ht="15" hidden="false" customHeight="true" outlineLevel="0" collapsed="false">
      <c r="A109" s="3" t="s">
        <v>6</v>
      </c>
      <c r="B109" s="3" t="n">
        <v>5</v>
      </c>
      <c r="C109" s="3" t="s">
        <v>11</v>
      </c>
      <c r="D109" s="3" t="n">
        <v>11</v>
      </c>
      <c r="E109" s="3" t="n">
        <v>6927</v>
      </c>
      <c r="F109" s="3" t="n">
        <v>124</v>
      </c>
    </row>
    <row r="110" customFormat="false" ht="15" hidden="false" customHeight="true" outlineLevel="0" collapsed="false">
      <c r="A110" s="3" t="s">
        <v>6</v>
      </c>
      <c r="B110" s="3" t="n">
        <v>5</v>
      </c>
      <c r="C110" s="3" t="s">
        <v>11</v>
      </c>
      <c r="D110" s="3" t="n">
        <v>12</v>
      </c>
      <c r="E110" s="3" t="n">
        <v>6949</v>
      </c>
      <c r="F110" s="3" t="n">
        <v>136</v>
      </c>
    </row>
    <row r="111" customFormat="false" ht="15" hidden="false" customHeight="true" outlineLevel="0" collapsed="false">
      <c r="A111" s="3" t="s">
        <v>6</v>
      </c>
      <c r="B111" s="3" t="n">
        <v>5</v>
      </c>
      <c r="C111" s="3" t="s">
        <v>11</v>
      </c>
      <c r="D111" s="3" t="n">
        <v>13</v>
      </c>
      <c r="E111" s="3" t="n">
        <v>7166</v>
      </c>
      <c r="F111" s="3" t="n">
        <v>166</v>
      </c>
    </row>
    <row r="112" customFormat="false" ht="15" hidden="false" customHeight="true" outlineLevel="0" collapsed="false">
      <c r="A112" s="3" t="s">
        <v>6</v>
      </c>
      <c r="B112" s="3" t="n">
        <v>5</v>
      </c>
      <c r="C112" s="3" t="s">
        <v>11</v>
      </c>
      <c r="D112" s="3" t="n">
        <v>14</v>
      </c>
      <c r="E112" s="3" t="n">
        <v>6622</v>
      </c>
      <c r="F112" s="3" t="n">
        <v>163</v>
      </c>
    </row>
    <row r="113" customFormat="false" ht="15" hidden="false" customHeight="true" outlineLevel="0" collapsed="false">
      <c r="A113" s="3" t="s">
        <v>6</v>
      </c>
      <c r="B113" s="3" t="n">
        <v>5</v>
      </c>
      <c r="C113" s="3" t="s">
        <v>11</v>
      </c>
      <c r="D113" s="3" t="n">
        <v>15</v>
      </c>
      <c r="E113" s="3" t="n">
        <v>6650</v>
      </c>
      <c r="F113" s="3" t="n">
        <v>176</v>
      </c>
    </row>
    <row r="114" customFormat="false" ht="15" hidden="false" customHeight="true" outlineLevel="0" collapsed="false">
      <c r="A114" s="3" t="s">
        <v>6</v>
      </c>
      <c r="B114" s="3" t="n">
        <v>5</v>
      </c>
      <c r="C114" s="3" t="s">
        <v>11</v>
      </c>
      <c r="D114" s="3" t="n">
        <v>16</v>
      </c>
      <c r="E114" s="3" t="n">
        <v>5523</v>
      </c>
      <c r="F114" s="3" t="n">
        <v>153</v>
      </c>
    </row>
    <row r="115" customFormat="false" ht="15" hidden="false" customHeight="true" outlineLevel="0" collapsed="false">
      <c r="A115" s="3" t="s">
        <v>6</v>
      </c>
      <c r="B115" s="3" t="n">
        <v>5</v>
      </c>
      <c r="C115" s="3" t="s">
        <v>11</v>
      </c>
      <c r="D115" s="3" t="n">
        <v>17</v>
      </c>
      <c r="E115" s="3" t="n">
        <v>5027</v>
      </c>
      <c r="F115" s="3" t="n">
        <v>108</v>
      </c>
    </row>
    <row r="116" customFormat="false" ht="15" hidden="false" customHeight="true" outlineLevel="0" collapsed="false">
      <c r="A116" s="3" t="s">
        <v>6</v>
      </c>
      <c r="B116" s="3" t="n">
        <v>5</v>
      </c>
      <c r="C116" s="3" t="s">
        <v>11</v>
      </c>
      <c r="D116" s="3" t="n">
        <v>18</v>
      </c>
      <c r="E116" s="3" t="n">
        <v>4839</v>
      </c>
      <c r="F116" s="3" t="n">
        <v>116</v>
      </c>
    </row>
    <row r="117" customFormat="false" ht="15" hidden="false" customHeight="true" outlineLevel="0" collapsed="false">
      <c r="A117" s="3" t="s">
        <v>6</v>
      </c>
      <c r="B117" s="3" t="n">
        <v>5</v>
      </c>
      <c r="C117" s="3" t="s">
        <v>11</v>
      </c>
      <c r="D117" s="3" t="n">
        <v>19</v>
      </c>
      <c r="E117" s="3" t="n">
        <v>4593</v>
      </c>
      <c r="F117" s="3" t="n">
        <v>95</v>
      </c>
    </row>
    <row r="118" customFormat="false" ht="15" hidden="false" customHeight="true" outlineLevel="0" collapsed="false">
      <c r="A118" s="3" t="s">
        <v>6</v>
      </c>
      <c r="B118" s="3" t="n">
        <v>5</v>
      </c>
      <c r="C118" s="3" t="s">
        <v>11</v>
      </c>
      <c r="D118" s="3" t="n">
        <v>20</v>
      </c>
      <c r="E118" s="3" t="n">
        <v>4465</v>
      </c>
      <c r="F118" s="3" t="n">
        <v>135</v>
      </c>
    </row>
    <row r="119" customFormat="false" ht="15" hidden="false" customHeight="true" outlineLevel="0" collapsed="false">
      <c r="A119" s="3" t="s">
        <v>6</v>
      </c>
      <c r="B119" s="3" t="n">
        <v>5</v>
      </c>
      <c r="C119" s="3" t="s">
        <v>11</v>
      </c>
      <c r="D119" s="3" t="n">
        <v>21</v>
      </c>
      <c r="E119" s="3" t="n">
        <v>4933</v>
      </c>
      <c r="F119" s="3" t="n">
        <v>144</v>
      </c>
    </row>
    <row r="120" customFormat="false" ht="15" hidden="false" customHeight="true" outlineLevel="0" collapsed="false">
      <c r="A120" s="3" t="s">
        <v>6</v>
      </c>
      <c r="B120" s="3" t="n">
        <v>5</v>
      </c>
      <c r="C120" s="3" t="s">
        <v>11</v>
      </c>
      <c r="D120" s="3" t="n">
        <v>22</v>
      </c>
      <c r="E120" s="3" t="n">
        <v>4737</v>
      </c>
      <c r="F120" s="3" t="n">
        <v>100</v>
      </c>
    </row>
    <row r="121" customFormat="false" ht="15" hidden="false" customHeight="true" outlineLevel="0" collapsed="false">
      <c r="A121" s="3" t="s">
        <v>6</v>
      </c>
      <c r="B121" s="3" t="n">
        <v>5</v>
      </c>
      <c r="C121" s="3" t="s">
        <v>11</v>
      </c>
      <c r="D121" s="3" t="n">
        <v>23</v>
      </c>
      <c r="E121" s="3" t="n">
        <v>3977</v>
      </c>
      <c r="F121" s="3" t="n">
        <v>68</v>
      </c>
    </row>
    <row r="122" customFormat="false" ht="15" hidden="false" customHeight="true" outlineLevel="0" collapsed="false">
      <c r="A122" s="3" t="s">
        <v>6</v>
      </c>
      <c r="B122" s="3" t="n">
        <v>6</v>
      </c>
      <c r="C122" s="3" t="s">
        <v>12</v>
      </c>
      <c r="D122" s="3" t="n">
        <v>0</v>
      </c>
      <c r="E122" s="3" t="n">
        <v>763</v>
      </c>
      <c r="F122" s="3" t="n">
        <v>18</v>
      </c>
    </row>
    <row r="123" customFormat="false" ht="15" hidden="false" customHeight="true" outlineLevel="0" collapsed="false">
      <c r="A123" s="3" t="s">
        <v>6</v>
      </c>
      <c r="B123" s="3" t="n">
        <v>6</v>
      </c>
      <c r="C123" s="3" t="s">
        <v>12</v>
      </c>
      <c r="D123" s="3" t="n">
        <v>1</v>
      </c>
      <c r="E123" s="3" t="n">
        <v>819</v>
      </c>
      <c r="F123" s="3" t="n">
        <v>7</v>
      </c>
    </row>
    <row r="124" customFormat="false" ht="15" hidden="false" customHeight="true" outlineLevel="0" collapsed="false">
      <c r="A124" s="3" t="s">
        <v>6</v>
      </c>
      <c r="B124" s="3" t="n">
        <v>6</v>
      </c>
      <c r="C124" s="3" t="s">
        <v>12</v>
      </c>
      <c r="D124" s="3" t="n">
        <v>2</v>
      </c>
      <c r="E124" s="3" t="n">
        <v>900</v>
      </c>
      <c r="F124" s="3" t="n">
        <v>4</v>
      </c>
    </row>
    <row r="125" customFormat="false" ht="15" hidden="false" customHeight="true" outlineLevel="0" collapsed="false">
      <c r="A125" s="3" t="s">
        <v>6</v>
      </c>
      <c r="B125" s="3" t="n">
        <v>6</v>
      </c>
      <c r="C125" s="3" t="s">
        <v>12</v>
      </c>
      <c r="D125" s="3" t="n">
        <v>3</v>
      </c>
      <c r="E125" s="3" t="n">
        <v>362</v>
      </c>
      <c r="F125" s="3" t="n">
        <v>4</v>
      </c>
    </row>
    <row r="126" customFormat="false" ht="15" hidden="false" customHeight="true" outlineLevel="0" collapsed="false">
      <c r="A126" s="3" t="s">
        <v>6</v>
      </c>
      <c r="B126" s="3" t="n">
        <v>6</v>
      </c>
      <c r="C126" s="3" t="s">
        <v>12</v>
      </c>
      <c r="D126" s="3" t="n">
        <v>4</v>
      </c>
      <c r="E126" s="3" t="n">
        <v>79</v>
      </c>
      <c r="F126" s="3" t="n">
        <v>0</v>
      </c>
    </row>
    <row r="127" customFormat="false" ht="15" hidden="false" customHeight="true" outlineLevel="0" collapsed="false">
      <c r="A127" s="3" t="s">
        <v>6</v>
      </c>
      <c r="B127" s="3" t="n">
        <v>6</v>
      </c>
      <c r="C127" s="3" t="s">
        <v>12</v>
      </c>
      <c r="D127" s="3" t="n">
        <v>5</v>
      </c>
      <c r="E127" s="3" t="n">
        <v>88</v>
      </c>
      <c r="F127" s="3" t="n">
        <v>5</v>
      </c>
    </row>
    <row r="128" customFormat="false" ht="15" hidden="false" customHeight="true" outlineLevel="0" collapsed="false">
      <c r="A128" s="3" t="s">
        <v>6</v>
      </c>
      <c r="B128" s="3" t="n">
        <v>6</v>
      </c>
      <c r="C128" s="3" t="s">
        <v>12</v>
      </c>
      <c r="D128" s="3" t="n">
        <v>6</v>
      </c>
      <c r="E128" s="3" t="n">
        <v>252</v>
      </c>
      <c r="F128" s="3" t="n">
        <v>13</v>
      </c>
    </row>
    <row r="129" customFormat="false" ht="15" hidden="false" customHeight="true" outlineLevel="0" collapsed="false">
      <c r="A129" s="3" t="s">
        <v>6</v>
      </c>
      <c r="B129" s="3" t="n">
        <v>6</v>
      </c>
      <c r="C129" s="3" t="s">
        <v>12</v>
      </c>
      <c r="D129" s="3" t="n">
        <v>7</v>
      </c>
      <c r="E129" s="3" t="n">
        <v>727</v>
      </c>
      <c r="F129" s="3" t="n">
        <v>17</v>
      </c>
    </row>
    <row r="130" customFormat="false" ht="15" hidden="false" customHeight="true" outlineLevel="0" collapsed="false">
      <c r="A130" s="3" t="s">
        <v>6</v>
      </c>
      <c r="B130" s="3" t="n">
        <v>6</v>
      </c>
      <c r="C130" s="3" t="s">
        <v>12</v>
      </c>
      <c r="D130" s="3" t="n">
        <v>8</v>
      </c>
      <c r="E130" s="3" t="n">
        <v>2150</v>
      </c>
      <c r="F130" s="3" t="n">
        <v>50</v>
      </c>
    </row>
    <row r="131" customFormat="false" ht="15" hidden="false" customHeight="true" outlineLevel="0" collapsed="false">
      <c r="A131" s="3" t="s">
        <v>6</v>
      </c>
      <c r="B131" s="3" t="n">
        <v>6</v>
      </c>
      <c r="C131" s="3" t="s">
        <v>12</v>
      </c>
      <c r="D131" s="3" t="n">
        <v>9</v>
      </c>
      <c r="E131" s="3" t="n">
        <v>3645</v>
      </c>
      <c r="F131" s="3" t="n">
        <v>60</v>
      </c>
    </row>
    <row r="132" customFormat="false" ht="15" hidden="false" customHeight="true" outlineLevel="0" collapsed="false">
      <c r="A132" s="3" t="s">
        <v>6</v>
      </c>
      <c r="B132" s="3" t="n">
        <v>6</v>
      </c>
      <c r="C132" s="3" t="s">
        <v>12</v>
      </c>
      <c r="D132" s="3" t="n">
        <v>10</v>
      </c>
      <c r="E132" s="3" t="n">
        <v>4867</v>
      </c>
      <c r="F132" s="3" t="n">
        <v>79</v>
      </c>
    </row>
    <row r="133" customFormat="false" ht="15" hidden="false" customHeight="true" outlineLevel="0" collapsed="false">
      <c r="A133" s="3" t="s">
        <v>6</v>
      </c>
      <c r="B133" s="3" t="n">
        <v>6</v>
      </c>
      <c r="C133" s="3" t="s">
        <v>12</v>
      </c>
      <c r="D133" s="3" t="n">
        <v>11</v>
      </c>
      <c r="E133" s="3" t="n">
        <v>5760</v>
      </c>
      <c r="F133" s="3" t="n">
        <v>84</v>
      </c>
    </row>
    <row r="134" customFormat="false" ht="15" hidden="false" customHeight="true" outlineLevel="0" collapsed="false">
      <c r="A134" s="3" t="s">
        <v>6</v>
      </c>
      <c r="B134" s="3" t="n">
        <v>6</v>
      </c>
      <c r="C134" s="3" t="s">
        <v>12</v>
      </c>
      <c r="D134" s="3" t="n">
        <v>12</v>
      </c>
      <c r="E134" s="3" t="n">
        <v>5852</v>
      </c>
      <c r="F134" s="3" t="n">
        <v>108</v>
      </c>
    </row>
    <row r="135" customFormat="false" ht="15" hidden="false" customHeight="true" outlineLevel="0" collapsed="false">
      <c r="A135" s="3" t="s">
        <v>6</v>
      </c>
      <c r="B135" s="3" t="n">
        <v>6</v>
      </c>
      <c r="C135" s="3" t="s">
        <v>12</v>
      </c>
      <c r="D135" s="3" t="n">
        <v>13</v>
      </c>
      <c r="E135" s="3" t="n">
        <v>6056</v>
      </c>
      <c r="F135" s="3" t="n">
        <v>121</v>
      </c>
    </row>
    <row r="136" customFormat="false" ht="15" hidden="false" customHeight="true" outlineLevel="0" collapsed="false">
      <c r="A136" s="3" t="s">
        <v>6</v>
      </c>
      <c r="B136" s="3" t="n">
        <v>6</v>
      </c>
      <c r="C136" s="3" t="s">
        <v>12</v>
      </c>
      <c r="D136" s="3" t="n">
        <v>14</v>
      </c>
      <c r="E136" s="3" t="n">
        <v>5849</v>
      </c>
      <c r="F136" s="3" t="n">
        <v>118</v>
      </c>
    </row>
    <row r="137" customFormat="false" ht="15" hidden="false" customHeight="true" outlineLevel="0" collapsed="false">
      <c r="A137" s="3" t="s">
        <v>6</v>
      </c>
      <c r="B137" s="3" t="n">
        <v>6</v>
      </c>
      <c r="C137" s="3" t="s">
        <v>12</v>
      </c>
      <c r="D137" s="3" t="n">
        <v>15</v>
      </c>
      <c r="E137" s="3" t="n">
        <v>5869</v>
      </c>
      <c r="F137" s="3" t="n">
        <v>128</v>
      </c>
    </row>
    <row r="138" customFormat="false" ht="15" hidden="false" customHeight="true" outlineLevel="0" collapsed="false">
      <c r="A138" s="3" t="s">
        <v>6</v>
      </c>
      <c r="B138" s="3" t="n">
        <v>6</v>
      </c>
      <c r="C138" s="3" t="s">
        <v>12</v>
      </c>
      <c r="D138" s="3" t="n">
        <v>16</v>
      </c>
      <c r="E138" s="3" t="n">
        <v>5223</v>
      </c>
      <c r="F138" s="3" t="n">
        <v>104</v>
      </c>
    </row>
    <row r="139" customFormat="false" ht="15" hidden="false" customHeight="true" outlineLevel="0" collapsed="false">
      <c r="A139" s="3" t="s">
        <v>6</v>
      </c>
      <c r="B139" s="3" t="n">
        <v>6</v>
      </c>
      <c r="C139" s="3" t="s">
        <v>12</v>
      </c>
      <c r="D139" s="3" t="n">
        <v>17</v>
      </c>
      <c r="E139" s="3" t="n">
        <v>4850</v>
      </c>
      <c r="F139" s="3" t="n">
        <v>109</v>
      </c>
    </row>
    <row r="140" customFormat="false" ht="15" hidden="false" customHeight="true" outlineLevel="0" collapsed="false">
      <c r="A140" s="3" t="s">
        <v>6</v>
      </c>
      <c r="B140" s="3" t="n">
        <v>6</v>
      </c>
      <c r="C140" s="3" t="s">
        <v>12</v>
      </c>
      <c r="D140" s="3" t="n">
        <v>18</v>
      </c>
      <c r="E140" s="3" t="n">
        <v>4368</v>
      </c>
      <c r="F140" s="3" t="n">
        <v>112</v>
      </c>
    </row>
    <row r="141" customFormat="false" ht="15" hidden="false" customHeight="true" outlineLevel="0" collapsed="false">
      <c r="A141" s="3" t="s">
        <v>6</v>
      </c>
      <c r="B141" s="3" t="n">
        <v>6</v>
      </c>
      <c r="C141" s="3" t="s">
        <v>12</v>
      </c>
      <c r="D141" s="3" t="n">
        <v>19</v>
      </c>
      <c r="E141" s="3" t="n">
        <v>4445</v>
      </c>
      <c r="F141" s="3" t="n">
        <v>119</v>
      </c>
    </row>
    <row r="142" customFormat="false" ht="15" hidden="false" customHeight="true" outlineLevel="0" collapsed="false">
      <c r="A142" s="3" t="s">
        <v>6</v>
      </c>
      <c r="B142" s="3" t="n">
        <v>6</v>
      </c>
      <c r="C142" s="3" t="s">
        <v>12</v>
      </c>
      <c r="D142" s="3" t="n">
        <v>20</v>
      </c>
      <c r="E142" s="3" t="n">
        <v>4593</v>
      </c>
      <c r="F142" s="3" t="n">
        <v>111</v>
      </c>
    </row>
    <row r="143" customFormat="false" ht="15" hidden="false" customHeight="true" outlineLevel="0" collapsed="false">
      <c r="A143" s="3" t="s">
        <v>6</v>
      </c>
      <c r="B143" s="3" t="n">
        <v>6</v>
      </c>
      <c r="C143" s="3" t="s">
        <v>12</v>
      </c>
      <c r="D143" s="3" t="n">
        <v>21</v>
      </c>
      <c r="E143" s="3" t="n">
        <v>4542</v>
      </c>
      <c r="F143" s="3" t="n">
        <v>146</v>
      </c>
    </row>
    <row r="144" customFormat="false" ht="15" hidden="false" customHeight="true" outlineLevel="0" collapsed="false">
      <c r="A144" s="3" t="s">
        <v>6</v>
      </c>
      <c r="B144" s="3" t="n">
        <v>6</v>
      </c>
      <c r="C144" s="3" t="s">
        <v>12</v>
      </c>
      <c r="D144" s="3" t="n">
        <v>22</v>
      </c>
      <c r="E144" s="3" t="n">
        <v>3904</v>
      </c>
      <c r="F144" s="3" t="n">
        <v>99</v>
      </c>
    </row>
    <row r="145" customFormat="false" ht="15" hidden="false" customHeight="true" outlineLevel="0" collapsed="false">
      <c r="A145" s="3" t="s">
        <v>6</v>
      </c>
      <c r="B145" s="3" t="n">
        <v>6</v>
      </c>
      <c r="C145" s="3" t="s">
        <v>12</v>
      </c>
      <c r="D145" s="3" t="n">
        <v>23</v>
      </c>
      <c r="E145" s="3" t="n">
        <v>2839</v>
      </c>
      <c r="F145" s="3" t="n">
        <v>63</v>
      </c>
    </row>
    <row r="146" customFormat="false" ht="15" hidden="false" customHeight="true" outlineLevel="0" collapsed="false">
      <c r="A146" s="3" t="s">
        <v>6</v>
      </c>
      <c r="B146" s="3" t="n">
        <v>7</v>
      </c>
      <c r="C146" s="3" t="s">
        <v>13</v>
      </c>
      <c r="D146" s="3" t="n">
        <v>0</v>
      </c>
      <c r="E146" s="3" t="n">
        <v>910</v>
      </c>
      <c r="F146" s="3" t="n">
        <v>15</v>
      </c>
    </row>
    <row r="147" customFormat="false" ht="15" hidden="false" customHeight="true" outlineLevel="0" collapsed="false">
      <c r="A147" s="3" t="s">
        <v>6</v>
      </c>
      <c r="B147" s="3" t="n">
        <v>7</v>
      </c>
      <c r="C147" s="3" t="s">
        <v>13</v>
      </c>
      <c r="D147" s="3" t="n">
        <v>1</v>
      </c>
      <c r="E147" s="3" t="n">
        <v>684</v>
      </c>
      <c r="F147" s="3" t="n">
        <v>12</v>
      </c>
    </row>
    <row r="148" customFormat="false" ht="15" hidden="false" customHeight="true" outlineLevel="0" collapsed="false">
      <c r="A148" s="3" t="s">
        <v>6</v>
      </c>
      <c r="B148" s="3" t="n">
        <v>7</v>
      </c>
      <c r="C148" s="3" t="s">
        <v>13</v>
      </c>
      <c r="D148" s="3" t="n">
        <v>2</v>
      </c>
      <c r="E148" s="3" t="n">
        <v>688</v>
      </c>
      <c r="F148" s="3" t="n">
        <v>4</v>
      </c>
    </row>
    <row r="149" customFormat="false" ht="15" hidden="false" customHeight="true" outlineLevel="0" collapsed="false">
      <c r="A149" s="3" t="s">
        <v>6</v>
      </c>
      <c r="B149" s="3" t="n">
        <v>7</v>
      </c>
      <c r="C149" s="3" t="s">
        <v>13</v>
      </c>
      <c r="D149" s="3" t="n">
        <v>3</v>
      </c>
      <c r="E149" s="3" t="n">
        <v>368</v>
      </c>
      <c r="F149" s="3" t="n">
        <v>7</v>
      </c>
    </row>
    <row r="150" customFormat="false" ht="15" hidden="false" customHeight="true" outlineLevel="0" collapsed="false">
      <c r="A150" s="3" t="s">
        <v>6</v>
      </c>
      <c r="B150" s="3" t="n">
        <v>7</v>
      </c>
      <c r="C150" s="3" t="s">
        <v>13</v>
      </c>
      <c r="D150" s="3" t="n">
        <v>4</v>
      </c>
      <c r="E150" s="3" t="n">
        <v>100</v>
      </c>
      <c r="F150" s="3" t="n">
        <v>2</v>
      </c>
    </row>
    <row r="151" customFormat="false" ht="15" hidden="false" customHeight="true" outlineLevel="0" collapsed="false">
      <c r="A151" s="3" t="s">
        <v>6</v>
      </c>
      <c r="B151" s="3" t="n">
        <v>7</v>
      </c>
      <c r="C151" s="3" t="s">
        <v>13</v>
      </c>
      <c r="D151" s="3" t="n">
        <v>5</v>
      </c>
      <c r="E151" s="3" t="n">
        <v>126</v>
      </c>
      <c r="F151" s="3" t="n">
        <v>2</v>
      </c>
    </row>
    <row r="152" customFormat="false" ht="15" hidden="false" customHeight="true" outlineLevel="0" collapsed="false">
      <c r="A152" s="3" t="s">
        <v>6</v>
      </c>
      <c r="B152" s="3" t="n">
        <v>7</v>
      </c>
      <c r="C152" s="3" t="s">
        <v>13</v>
      </c>
      <c r="D152" s="3" t="n">
        <v>6</v>
      </c>
      <c r="E152" s="3" t="n">
        <v>277</v>
      </c>
      <c r="F152" s="3" t="n">
        <v>2</v>
      </c>
    </row>
    <row r="153" customFormat="false" ht="15" hidden="false" customHeight="true" outlineLevel="0" collapsed="false">
      <c r="A153" s="3" t="s">
        <v>6</v>
      </c>
      <c r="B153" s="3" t="n">
        <v>7</v>
      </c>
      <c r="C153" s="3" t="s">
        <v>13</v>
      </c>
      <c r="D153" s="3" t="n">
        <v>7</v>
      </c>
      <c r="E153" s="3" t="n">
        <v>1089</v>
      </c>
      <c r="F153" s="3" t="n">
        <v>22</v>
      </c>
    </row>
    <row r="154" customFormat="false" ht="15" hidden="false" customHeight="true" outlineLevel="0" collapsed="false">
      <c r="A154" s="3" t="s">
        <v>6</v>
      </c>
      <c r="B154" s="3" t="n">
        <v>7</v>
      </c>
      <c r="C154" s="3" t="s">
        <v>13</v>
      </c>
      <c r="D154" s="3" t="n">
        <v>8</v>
      </c>
      <c r="E154" s="3" t="n">
        <v>2627</v>
      </c>
      <c r="F154" s="3" t="n">
        <v>43</v>
      </c>
    </row>
    <row r="155" customFormat="false" ht="15" hidden="false" customHeight="true" outlineLevel="0" collapsed="false">
      <c r="A155" s="3" t="s">
        <v>6</v>
      </c>
      <c r="B155" s="3" t="n">
        <v>7</v>
      </c>
      <c r="C155" s="3" t="s">
        <v>13</v>
      </c>
      <c r="D155" s="3" t="n">
        <v>9</v>
      </c>
      <c r="E155" s="3" t="n">
        <v>4041</v>
      </c>
      <c r="F155" s="3" t="n">
        <v>66</v>
      </c>
    </row>
    <row r="156" customFormat="false" ht="15" hidden="false" customHeight="true" outlineLevel="0" collapsed="false">
      <c r="A156" s="3" t="s">
        <v>6</v>
      </c>
      <c r="B156" s="3" t="n">
        <v>7</v>
      </c>
      <c r="C156" s="3" t="s">
        <v>13</v>
      </c>
      <c r="D156" s="3" t="n">
        <v>10</v>
      </c>
      <c r="E156" s="3" t="n">
        <v>5545</v>
      </c>
      <c r="F156" s="3" t="n">
        <v>103</v>
      </c>
    </row>
    <row r="157" customFormat="false" ht="15" hidden="false" customHeight="true" outlineLevel="0" collapsed="false">
      <c r="A157" s="3" t="s">
        <v>6</v>
      </c>
      <c r="B157" s="3" t="n">
        <v>7</v>
      </c>
      <c r="C157" s="3" t="s">
        <v>13</v>
      </c>
      <c r="D157" s="3" t="n">
        <v>11</v>
      </c>
      <c r="E157" s="3" t="n">
        <v>6525</v>
      </c>
      <c r="F157" s="3" t="n">
        <v>113</v>
      </c>
    </row>
    <row r="158" customFormat="false" ht="15" hidden="false" customHeight="true" outlineLevel="0" collapsed="false">
      <c r="A158" s="3" t="s">
        <v>6</v>
      </c>
      <c r="B158" s="3" t="n">
        <v>7</v>
      </c>
      <c r="C158" s="3" t="s">
        <v>13</v>
      </c>
      <c r="D158" s="3" t="n">
        <v>12</v>
      </c>
      <c r="E158" s="3" t="n">
        <v>6275</v>
      </c>
      <c r="F158" s="3" t="n">
        <v>126</v>
      </c>
    </row>
    <row r="159" customFormat="false" ht="15" hidden="false" customHeight="true" outlineLevel="0" collapsed="false">
      <c r="A159" s="3" t="s">
        <v>6</v>
      </c>
      <c r="B159" s="3" t="n">
        <v>7</v>
      </c>
      <c r="C159" s="3" t="s">
        <v>13</v>
      </c>
      <c r="D159" s="3" t="n">
        <v>13</v>
      </c>
      <c r="E159" s="3" t="n">
        <v>6212</v>
      </c>
      <c r="F159" s="3" t="n">
        <v>122</v>
      </c>
    </row>
    <row r="160" customFormat="false" ht="15" hidden="false" customHeight="true" outlineLevel="0" collapsed="false">
      <c r="A160" s="3" t="s">
        <v>6</v>
      </c>
      <c r="B160" s="3" t="n">
        <v>7</v>
      </c>
      <c r="C160" s="3" t="s">
        <v>13</v>
      </c>
      <c r="D160" s="3" t="n">
        <v>14</v>
      </c>
      <c r="E160" s="3" t="n">
        <v>6983</v>
      </c>
      <c r="F160" s="3" t="n">
        <v>142</v>
      </c>
    </row>
    <row r="161" customFormat="false" ht="15" hidden="false" customHeight="true" outlineLevel="0" collapsed="false">
      <c r="A161" s="3" t="s">
        <v>6</v>
      </c>
      <c r="B161" s="3" t="n">
        <v>7</v>
      </c>
      <c r="C161" s="3" t="s">
        <v>13</v>
      </c>
      <c r="D161" s="3" t="n">
        <v>15</v>
      </c>
      <c r="E161" s="3" t="n">
        <v>6609</v>
      </c>
      <c r="F161" s="3" t="n">
        <v>150</v>
      </c>
    </row>
    <row r="162" customFormat="false" ht="15" hidden="false" customHeight="true" outlineLevel="0" collapsed="false">
      <c r="A162" s="3" t="s">
        <v>6</v>
      </c>
      <c r="B162" s="3" t="n">
        <v>7</v>
      </c>
      <c r="C162" s="3" t="s">
        <v>13</v>
      </c>
      <c r="D162" s="3" t="n">
        <v>16</v>
      </c>
      <c r="E162" s="3" t="n">
        <v>5383</v>
      </c>
      <c r="F162" s="3" t="n">
        <v>148</v>
      </c>
    </row>
    <row r="163" customFormat="false" ht="15" hidden="false" customHeight="true" outlineLevel="0" collapsed="false">
      <c r="A163" s="3" t="s">
        <v>6</v>
      </c>
      <c r="B163" s="3" t="n">
        <v>7</v>
      </c>
      <c r="C163" s="3" t="s">
        <v>13</v>
      </c>
      <c r="D163" s="3" t="n">
        <v>17</v>
      </c>
      <c r="E163" s="3" t="n">
        <v>5077</v>
      </c>
      <c r="F163" s="3" t="n">
        <v>160</v>
      </c>
    </row>
    <row r="164" customFormat="false" ht="15" hidden="false" customHeight="true" outlineLevel="0" collapsed="false">
      <c r="A164" s="3" t="s">
        <v>6</v>
      </c>
      <c r="B164" s="3" t="n">
        <v>7</v>
      </c>
      <c r="C164" s="3" t="s">
        <v>13</v>
      </c>
      <c r="D164" s="3" t="n">
        <v>18</v>
      </c>
      <c r="E164" s="3" t="n">
        <v>4810</v>
      </c>
      <c r="F164" s="3" t="n">
        <v>144</v>
      </c>
    </row>
    <row r="165" customFormat="false" ht="15" hidden="false" customHeight="true" outlineLevel="0" collapsed="false">
      <c r="A165" s="3" t="s">
        <v>6</v>
      </c>
      <c r="B165" s="3" t="n">
        <v>7</v>
      </c>
      <c r="C165" s="3" t="s">
        <v>13</v>
      </c>
      <c r="D165" s="3" t="n">
        <v>19</v>
      </c>
      <c r="E165" s="3" t="n">
        <v>4520</v>
      </c>
      <c r="F165" s="3" t="n">
        <v>161</v>
      </c>
    </row>
    <row r="166" customFormat="false" ht="15" hidden="false" customHeight="true" outlineLevel="0" collapsed="false">
      <c r="A166" s="3" t="s">
        <v>6</v>
      </c>
      <c r="B166" s="3" t="n">
        <v>7</v>
      </c>
      <c r="C166" s="3" t="s">
        <v>13</v>
      </c>
      <c r="D166" s="3" t="n">
        <v>20</v>
      </c>
      <c r="E166" s="3" t="n">
        <v>3733</v>
      </c>
      <c r="F166" s="3" t="n">
        <v>163</v>
      </c>
    </row>
    <row r="167" customFormat="false" ht="15" hidden="false" customHeight="true" outlineLevel="0" collapsed="false">
      <c r="A167" s="3" t="s">
        <v>6</v>
      </c>
      <c r="B167" s="3" t="n">
        <v>7</v>
      </c>
      <c r="C167" s="3" t="s">
        <v>13</v>
      </c>
      <c r="D167" s="3" t="n">
        <v>21</v>
      </c>
      <c r="E167" s="3" t="n">
        <v>3705</v>
      </c>
      <c r="F167" s="3" t="n">
        <v>136</v>
      </c>
    </row>
    <row r="168" customFormat="false" ht="15" hidden="false" customHeight="true" outlineLevel="0" collapsed="false">
      <c r="A168" s="3" t="s">
        <v>6</v>
      </c>
      <c r="B168" s="3" t="n">
        <v>7</v>
      </c>
      <c r="C168" s="3" t="s">
        <v>13</v>
      </c>
      <c r="D168" s="3" t="n">
        <v>22</v>
      </c>
      <c r="E168" s="3" t="n">
        <v>3344</v>
      </c>
      <c r="F168" s="3" t="n">
        <v>104</v>
      </c>
    </row>
    <row r="169" customFormat="false" ht="15" hidden="false" customHeight="true" outlineLevel="0" collapsed="false">
      <c r="A169" s="3" t="s">
        <v>6</v>
      </c>
      <c r="B169" s="3" t="n">
        <v>7</v>
      </c>
      <c r="C169" s="3" t="s">
        <v>13</v>
      </c>
      <c r="D169" s="3" t="n">
        <v>23</v>
      </c>
      <c r="E169" s="3" t="n">
        <v>2701</v>
      </c>
      <c r="F169" s="3" t="n">
        <v>80</v>
      </c>
    </row>
    <row r="170" customFormat="false" ht="15" hidden="false" customHeight="true" outlineLevel="0" collapsed="false">
      <c r="A170" s="3" t="s">
        <v>14</v>
      </c>
      <c r="B170" s="3" t="n">
        <v>1</v>
      </c>
      <c r="C170" s="3" t="s">
        <v>7</v>
      </c>
      <c r="D170" s="3" t="n">
        <v>0</v>
      </c>
      <c r="E170" s="3" t="n">
        <v>42</v>
      </c>
      <c r="F170" s="3" t="n">
        <v>0</v>
      </c>
    </row>
    <row r="171" customFormat="false" ht="15" hidden="false" customHeight="true" outlineLevel="0" collapsed="false">
      <c r="A171" s="3" t="s">
        <v>14</v>
      </c>
      <c r="B171" s="3" t="n">
        <v>1</v>
      </c>
      <c r="C171" s="3" t="s">
        <v>7</v>
      </c>
      <c r="D171" s="3" t="n">
        <v>1</v>
      </c>
      <c r="E171" s="3" t="n">
        <v>35</v>
      </c>
      <c r="F171" s="3" t="n">
        <v>0</v>
      </c>
    </row>
    <row r="172" customFormat="false" ht="15" hidden="false" customHeight="true" outlineLevel="0" collapsed="false">
      <c r="A172" s="3" t="s">
        <v>14</v>
      </c>
      <c r="B172" s="3" t="n">
        <v>1</v>
      </c>
      <c r="C172" s="3" t="s">
        <v>7</v>
      </c>
      <c r="D172" s="3" t="n">
        <v>2</v>
      </c>
      <c r="E172" s="3" t="n">
        <v>28</v>
      </c>
      <c r="F172" s="3" t="n">
        <v>0</v>
      </c>
    </row>
    <row r="173" customFormat="false" ht="15" hidden="false" customHeight="true" outlineLevel="0" collapsed="false">
      <c r="A173" s="3" t="s">
        <v>14</v>
      </c>
      <c r="B173" s="3" t="n">
        <v>1</v>
      </c>
      <c r="C173" s="3" t="s">
        <v>7</v>
      </c>
      <c r="D173" s="3" t="n">
        <v>3</v>
      </c>
      <c r="E173" s="3" t="n">
        <v>14</v>
      </c>
      <c r="F173" s="3" t="n">
        <v>0</v>
      </c>
    </row>
    <row r="174" customFormat="false" ht="15" hidden="false" customHeight="true" outlineLevel="0" collapsed="false">
      <c r="A174" s="3" t="s">
        <v>14</v>
      </c>
      <c r="B174" s="3" t="n">
        <v>1</v>
      </c>
      <c r="C174" s="3" t="s">
        <v>7</v>
      </c>
      <c r="D174" s="3" t="n">
        <v>4</v>
      </c>
      <c r="E174" s="3" t="n">
        <v>4</v>
      </c>
      <c r="F174" s="3" t="n">
        <v>0</v>
      </c>
    </row>
    <row r="175" customFormat="false" ht="15" hidden="false" customHeight="true" outlineLevel="0" collapsed="false">
      <c r="A175" s="3" t="s">
        <v>14</v>
      </c>
      <c r="B175" s="3" t="n">
        <v>1</v>
      </c>
      <c r="C175" s="3" t="s">
        <v>7</v>
      </c>
      <c r="D175" s="3" t="n">
        <v>5</v>
      </c>
      <c r="E175" s="3" t="n">
        <v>2</v>
      </c>
      <c r="F175" s="3" t="n">
        <v>0</v>
      </c>
    </row>
    <row r="176" customFormat="false" ht="15" hidden="false" customHeight="true" outlineLevel="0" collapsed="false">
      <c r="A176" s="3" t="s">
        <v>14</v>
      </c>
      <c r="B176" s="3" t="n">
        <v>1</v>
      </c>
      <c r="C176" s="3" t="s">
        <v>7</v>
      </c>
      <c r="D176" s="3" t="n">
        <v>6</v>
      </c>
      <c r="E176" s="3" t="n">
        <v>17</v>
      </c>
      <c r="F176" s="3" t="n">
        <v>0</v>
      </c>
    </row>
    <row r="177" customFormat="false" ht="15" hidden="false" customHeight="true" outlineLevel="0" collapsed="false">
      <c r="A177" s="3" t="s">
        <v>14</v>
      </c>
      <c r="B177" s="3" t="n">
        <v>1</v>
      </c>
      <c r="C177" s="3" t="s">
        <v>7</v>
      </c>
      <c r="D177" s="3" t="n">
        <v>7</v>
      </c>
      <c r="E177" s="3" t="n">
        <v>26</v>
      </c>
      <c r="F177" s="3" t="n">
        <v>0</v>
      </c>
    </row>
    <row r="178" customFormat="false" ht="15" hidden="false" customHeight="true" outlineLevel="0" collapsed="false">
      <c r="A178" s="3" t="s">
        <v>14</v>
      </c>
      <c r="B178" s="3" t="n">
        <v>1</v>
      </c>
      <c r="C178" s="3" t="s">
        <v>7</v>
      </c>
      <c r="D178" s="3" t="n">
        <v>8</v>
      </c>
      <c r="E178" s="3" t="n">
        <v>98</v>
      </c>
      <c r="F178" s="3" t="n">
        <v>0</v>
      </c>
    </row>
    <row r="179" customFormat="false" ht="15" hidden="false" customHeight="true" outlineLevel="0" collapsed="false">
      <c r="A179" s="3" t="s">
        <v>14</v>
      </c>
      <c r="B179" s="3" t="n">
        <v>1</v>
      </c>
      <c r="C179" s="3" t="s">
        <v>7</v>
      </c>
      <c r="D179" s="3" t="n">
        <v>9</v>
      </c>
      <c r="E179" s="3" t="n">
        <v>181</v>
      </c>
      <c r="F179" s="3" t="n">
        <v>3</v>
      </c>
    </row>
    <row r="180" customFormat="false" ht="15" hidden="false" customHeight="true" outlineLevel="0" collapsed="false">
      <c r="A180" s="3" t="s">
        <v>14</v>
      </c>
      <c r="B180" s="3" t="n">
        <v>1</v>
      </c>
      <c r="C180" s="3" t="s">
        <v>7</v>
      </c>
      <c r="D180" s="3" t="n">
        <v>10</v>
      </c>
      <c r="E180" s="3" t="n">
        <v>229</v>
      </c>
      <c r="F180" s="3" t="n">
        <v>6</v>
      </c>
    </row>
    <row r="181" customFormat="false" ht="15" hidden="false" customHeight="true" outlineLevel="0" collapsed="false">
      <c r="A181" s="3" t="s">
        <v>14</v>
      </c>
      <c r="B181" s="3" t="n">
        <v>1</v>
      </c>
      <c r="C181" s="3" t="s">
        <v>7</v>
      </c>
      <c r="D181" s="3" t="n">
        <v>11</v>
      </c>
      <c r="E181" s="3" t="n">
        <v>287</v>
      </c>
      <c r="F181" s="3" t="n">
        <v>8</v>
      </c>
    </row>
    <row r="182" customFormat="false" ht="15" hidden="false" customHeight="true" outlineLevel="0" collapsed="false">
      <c r="A182" s="3" t="s">
        <v>14</v>
      </c>
      <c r="B182" s="3" t="n">
        <v>1</v>
      </c>
      <c r="C182" s="3" t="s">
        <v>7</v>
      </c>
      <c r="D182" s="3" t="n">
        <v>12</v>
      </c>
      <c r="E182" s="3" t="n">
        <v>258</v>
      </c>
      <c r="F182" s="3" t="n">
        <v>7</v>
      </c>
    </row>
    <row r="183" customFormat="false" ht="15" hidden="false" customHeight="true" outlineLevel="0" collapsed="false">
      <c r="A183" s="3" t="s">
        <v>14</v>
      </c>
      <c r="B183" s="3" t="n">
        <v>1</v>
      </c>
      <c r="C183" s="3" t="s">
        <v>7</v>
      </c>
      <c r="D183" s="3" t="n">
        <v>13</v>
      </c>
      <c r="E183" s="3" t="n">
        <v>292</v>
      </c>
      <c r="F183" s="3" t="n">
        <v>6</v>
      </c>
    </row>
    <row r="184" customFormat="false" ht="15" hidden="false" customHeight="true" outlineLevel="0" collapsed="false">
      <c r="A184" s="3" t="s">
        <v>14</v>
      </c>
      <c r="B184" s="3" t="n">
        <v>1</v>
      </c>
      <c r="C184" s="3" t="s">
        <v>7</v>
      </c>
      <c r="D184" s="3" t="n">
        <v>14</v>
      </c>
      <c r="E184" s="3" t="n">
        <v>296</v>
      </c>
      <c r="F184" s="3" t="n">
        <v>10</v>
      </c>
    </row>
    <row r="185" customFormat="false" ht="15" hidden="false" customHeight="true" outlineLevel="0" collapsed="false">
      <c r="A185" s="3" t="s">
        <v>14</v>
      </c>
      <c r="B185" s="3" t="n">
        <v>1</v>
      </c>
      <c r="C185" s="3" t="s">
        <v>7</v>
      </c>
      <c r="D185" s="3" t="n">
        <v>15</v>
      </c>
      <c r="E185" s="3" t="n">
        <v>327</v>
      </c>
      <c r="F185" s="3" t="n">
        <v>11</v>
      </c>
    </row>
    <row r="186" customFormat="false" ht="15" hidden="false" customHeight="true" outlineLevel="0" collapsed="false">
      <c r="A186" s="3" t="s">
        <v>14</v>
      </c>
      <c r="B186" s="3" t="n">
        <v>1</v>
      </c>
      <c r="C186" s="3" t="s">
        <v>7</v>
      </c>
      <c r="D186" s="3" t="n">
        <v>16</v>
      </c>
      <c r="E186" s="3" t="n">
        <v>266</v>
      </c>
      <c r="F186" s="3" t="n">
        <v>8</v>
      </c>
    </row>
    <row r="187" customFormat="false" ht="15" hidden="false" customHeight="true" outlineLevel="0" collapsed="false">
      <c r="A187" s="3" t="s">
        <v>14</v>
      </c>
      <c r="B187" s="3" t="n">
        <v>1</v>
      </c>
      <c r="C187" s="3" t="s">
        <v>7</v>
      </c>
      <c r="D187" s="3" t="n">
        <v>17</v>
      </c>
      <c r="E187" s="3" t="n">
        <v>193</v>
      </c>
      <c r="F187" s="3" t="n">
        <v>6</v>
      </c>
    </row>
    <row r="188" customFormat="false" ht="15" hidden="false" customHeight="true" outlineLevel="0" collapsed="false">
      <c r="A188" s="3" t="s">
        <v>14</v>
      </c>
      <c r="B188" s="3" t="n">
        <v>1</v>
      </c>
      <c r="C188" s="3" t="s">
        <v>7</v>
      </c>
      <c r="D188" s="3" t="n">
        <v>18</v>
      </c>
      <c r="E188" s="3" t="n">
        <v>182</v>
      </c>
      <c r="F188" s="3" t="n">
        <v>3</v>
      </c>
    </row>
    <row r="189" customFormat="false" ht="15" hidden="false" customHeight="true" outlineLevel="0" collapsed="false">
      <c r="A189" s="3" t="s">
        <v>14</v>
      </c>
      <c r="B189" s="3" t="n">
        <v>1</v>
      </c>
      <c r="C189" s="3" t="s">
        <v>7</v>
      </c>
      <c r="D189" s="3" t="n">
        <v>19</v>
      </c>
      <c r="E189" s="3" t="n">
        <v>171</v>
      </c>
      <c r="F189" s="3" t="n">
        <v>6</v>
      </c>
    </row>
    <row r="190" customFormat="false" ht="15" hidden="false" customHeight="true" outlineLevel="0" collapsed="false">
      <c r="A190" s="3" t="s">
        <v>14</v>
      </c>
      <c r="B190" s="3" t="n">
        <v>1</v>
      </c>
      <c r="C190" s="3" t="s">
        <v>7</v>
      </c>
      <c r="D190" s="3" t="n">
        <v>20</v>
      </c>
      <c r="E190" s="3" t="n">
        <v>158</v>
      </c>
      <c r="F190" s="3" t="n">
        <v>2</v>
      </c>
    </row>
    <row r="191" customFormat="false" ht="15" hidden="false" customHeight="true" outlineLevel="0" collapsed="false">
      <c r="A191" s="3" t="s">
        <v>14</v>
      </c>
      <c r="B191" s="3" t="n">
        <v>1</v>
      </c>
      <c r="C191" s="3" t="s">
        <v>7</v>
      </c>
      <c r="D191" s="3" t="n">
        <v>21</v>
      </c>
      <c r="E191" s="3" t="n">
        <v>159</v>
      </c>
      <c r="F191" s="3" t="n">
        <v>1</v>
      </c>
    </row>
    <row r="192" customFormat="false" ht="15" hidden="false" customHeight="true" outlineLevel="0" collapsed="false">
      <c r="A192" s="3" t="s">
        <v>14</v>
      </c>
      <c r="B192" s="3" t="n">
        <v>1</v>
      </c>
      <c r="C192" s="3" t="s">
        <v>7</v>
      </c>
      <c r="D192" s="3" t="n">
        <v>22</v>
      </c>
      <c r="E192" s="3" t="n">
        <v>149</v>
      </c>
      <c r="F192" s="3" t="n">
        <v>2</v>
      </c>
    </row>
    <row r="193" customFormat="false" ht="15" hidden="false" customHeight="true" outlineLevel="0" collapsed="false">
      <c r="A193" s="3" t="s">
        <v>14</v>
      </c>
      <c r="B193" s="3" t="n">
        <v>1</v>
      </c>
      <c r="C193" s="3" t="s">
        <v>7</v>
      </c>
      <c r="D193" s="3" t="n">
        <v>23</v>
      </c>
      <c r="E193" s="3" t="n">
        <v>88</v>
      </c>
      <c r="F193" s="3" t="n">
        <v>0</v>
      </c>
    </row>
    <row r="194" customFormat="false" ht="15" hidden="false" customHeight="true" outlineLevel="0" collapsed="false">
      <c r="A194" s="3" t="s">
        <v>14</v>
      </c>
      <c r="B194" s="3" t="n">
        <v>2</v>
      </c>
      <c r="C194" s="3" t="s">
        <v>8</v>
      </c>
      <c r="D194" s="3" t="n">
        <v>0</v>
      </c>
      <c r="E194" s="3" t="n">
        <v>24</v>
      </c>
      <c r="F194" s="3" t="n">
        <v>0</v>
      </c>
    </row>
    <row r="195" customFormat="false" ht="15" hidden="false" customHeight="true" outlineLevel="0" collapsed="false">
      <c r="A195" s="3" t="s">
        <v>14</v>
      </c>
      <c r="B195" s="3" t="n">
        <v>2</v>
      </c>
      <c r="C195" s="3" t="s">
        <v>8</v>
      </c>
      <c r="D195" s="3" t="n">
        <v>1</v>
      </c>
      <c r="E195" s="3" t="n">
        <v>20</v>
      </c>
      <c r="F195" s="3" t="n">
        <v>0</v>
      </c>
    </row>
    <row r="196" customFormat="false" ht="15" hidden="false" customHeight="true" outlineLevel="0" collapsed="false">
      <c r="A196" s="3" t="s">
        <v>14</v>
      </c>
      <c r="B196" s="3" t="n">
        <v>2</v>
      </c>
      <c r="C196" s="3" t="s">
        <v>8</v>
      </c>
      <c r="D196" s="3" t="n">
        <v>2</v>
      </c>
      <c r="E196" s="3" t="n">
        <v>16</v>
      </c>
      <c r="F196" s="3" t="n">
        <v>0</v>
      </c>
    </row>
    <row r="197" customFormat="false" ht="15" hidden="false" customHeight="true" outlineLevel="0" collapsed="false">
      <c r="A197" s="3" t="s">
        <v>14</v>
      </c>
      <c r="B197" s="3" t="n">
        <v>2</v>
      </c>
      <c r="C197" s="3" t="s">
        <v>8</v>
      </c>
      <c r="D197" s="3" t="n">
        <v>3</v>
      </c>
      <c r="E197" s="3" t="n">
        <v>7</v>
      </c>
      <c r="F197" s="3" t="n">
        <v>1</v>
      </c>
    </row>
    <row r="198" customFormat="false" ht="15" hidden="false" customHeight="true" outlineLevel="0" collapsed="false">
      <c r="A198" s="3" t="s">
        <v>14</v>
      </c>
      <c r="B198" s="3" t="n">
        <v>2</v>
      </c>
      <c r="C198" s="3" t="s">
        <v>8</v>
      </c>
      <c r="D198" s="3" t="n">
        <v>4</v>
      </c>
      <c r="E198" s="3" t="n">
        <v>4</v>
      </c>
      <c r="F198" s="3" t="n">
        <v>0</v>
      </c>
    </row>
    <row r="199" customFormat="false" ht="15" hidden="false" customHeight="true" outlineLevel="0" collapsed="false">
      <c r="A199" s="3" t="s">
        <v>14</v>
      </c>
      <c r="B199" s="3" t="n">
        <v>2</v>
      </c>
      <c r="C199" s="3" t="s">
        <v>8</v>
      </c>
      <c r="D199" s="3" t="n">
        <v>6</v>
      </c>
      <c r="E199" s="3" t="n">
        <v>4</v>
      </c>
      <c r="F199" s="3" t="n">
        <v>0</v>
      </c>
    </row>
    <row r="200" customFormat="false" ht="15" hidden="false" customHeight="true" outlineLevel="0" collapsed="false">
      <c r="A200" s="3" t="s">
        <v>14</v>
      </c>
      <c r="B200" s="3" t="n">
        <v>2</v>
      </c>
      <c r="C200" s="3" t="s">
        <v>8</v>
      </c>
      <c r="D200" s="3" t="n">
        <v>7</v>
      </c>
      <c r="E200" s="3" t="n">
        <v>22</v>
      </c>
      <c r="F200" s="3" t="n">
        <v>0</v>
      </c>
    </row>
    <row r="201" customFormat="false" ht="15" hidden="false" customHeight="true" outlineLevel="0" collapsed="false">
      <c r="A201" s="3" t="s">
        <v>14</v>
      </c>
      <c r="B201" s="3" t="n">
        <v>2</v>
      </c>
      <c r="C201" s="3" t="s">
        <v>8</v>
      </c>
      <c r="D201" s="3" t="n">
        <v>8</v>
      </c>
      <c r="E201" s="3" t="n">
        <v>99</v>
      </c>
      <c r="F201" s="3" t="n">
        <v>0</v>
      </c>
    </row>
    <row r="202" customFormat="false" ht="15" hidden="false" customHeight="true" outlineLevel="0" collapsed="false">
      <c r="A202" s="3" t="s">
        <v>14</v>
      </c>
      <c r="B202" s="3" t="n">
        <v>2</v>
      </c>
      <c r="C202" s="3" t="s">
        <v>8</v>
      </c>
      <c r="D202" s="3" t="n">
        <v>9</v>
      </c>
      <c r="E202" s="3" t="n">
        <v>183</v>
      </c>
      <c r="F202" s="3" t="n">
        <v>2</v>
      </c>
    </row>
    <row r="203" customFormat="false" ht="15" hidden="false" customHeight="true" outlineLevel="0" collapsed="false">
      <c r="A203" s="3" t="s">
        <v>14</v>
      </c>
      <c r="B203" s="3" t="n">
        <v>2</v>
      </c>
      <c r="C203" s="3" t="s">
        <v>8</v>
      </c>
      <c r="D203" s="3" t="n">
        <v>10</v>
      </c>
      <c r="E203" s="3" t="n">
        <v>233</v>
      </c>
      <c r="F203" s="3" t="n">
        <v>4</v>
      </c>
    </row>
    <row r="204" customFormat="false" ht="15" hidden="false" customHeight="true" outlineLevel="0" collapsed="false">
      <c r="A204" s="3" t="s">
        <v>14</v>
      </c>
      <c r="B204" s="3" t="n">
        <v>2</v>
      </c>
      <c r="C204" s="3" t="s">
        <v>8</v>
      </c>
      <c r="D204" s="3" t="n">
        <v>11</v>
      </c>
      <c r="E204" s="3" t="n">
        <v>361</v>
      </c>
      <c r="F204" s="3" t="n">
        <v>2</v>
      </c>
    </row>
    <row r="205" customFormat="false" ht="15" hidden="false" customHeight="true" outlineLevel="0" collapsed="false">
      <c r="A205" s="3" t="s">
        <v>14</v>
      </c>
      <c r="B205" s="3" t="n">
        <v>2</v>
      </c>
      <c r="C205" s="3" t="s">
        <v>8</v>
      </c>
      <c r="D205" s="3" t="n">
        <v>12</v>
      </c>
      <c r="E205" s="3" t="n">
        <v>273</v>
      </c>
      <c r="F205" s="3" t="n">
        <v>3</v>
      </c>
    </row>
    <row r="206" customFormat="false" ht="15" hidden="false" customHeight="true" outlineLevel="0" collapsed="false">
      <c r="A206" s="3" t="s">
        <v>14</v>
      </c>
      <c r="B206" s="3" t="n">
        <v>2</v>
      </c>
      <c r="C206" s="3" t="s">
        <v>8</v>
      </c>
      <c r="D206" s="3" t="n">
        <v>13</v>
      </c>
      <c r="E206" s="3" t="n">
        <v>306</v>
      </c>
      <c r="F206" s="3" t="n">
        <v>3</v>
      </c>
    </row>
    <row r="207" customFormat="false" ht="15" hidden="false" customHeight="true" outlineLevel="0" collapsed="false">
      <c r="A207" s="3" t="s">
        <v>14</v>
      </c>
      <c r="B207" s="3" t="n">
        <v>2</v>
      </c>
      <c r="C207" s="3" t="s">
        <v>8</v>
      </c>
      <c r="D207" s="3" t="n">
        <v>14</v>
      </c>
      <c r="E207" s="3" t="n">
        <v>247</v>
      </c>
      <c r="F207" s="3" t="n">
        <v>3</v>
      </c>
    </row>
    <row r="208" customFormat="false" ht="15" hidden="false" customHeight="true" outlineLevel="0" collapsed="false">
      <c r="A208" s="3" t="s">
        <v>14</v>
      </c>
      <c r="B208" s="3" t="n">
        <v>2</v>
      </c>
      <c r="C208" s="3" t="s">
        <v>8</v>
      </c>
      <c r="D208" s="3" t="n">
        <v>15</v>
      </c>
      <c r="E208" s="3" t="n">
        <v>216</v>
      </c>
      <c r="F208" s="3" t="n">
        <v>4</v>
      </c>
    </row>
    <row r="209" customFormat="false" ht="15" hidden="false" customHeight="true" outlineLevel="0" collapsed="false">
      <c r="A209" s="3" t="s">
        <v>14</v>
      </c>
      <c r="B209" s="3" t="n">
        <v>2</v>
      </c>
      <c r="C209" s="3" t="s">
        <v>8</v>
      </c>
      <c r="D209" s="3" t="n">
        <v>16</v>
      </c>
      <c r="E209" s="3" t="n">
        <v>159</v>
      </c>
      <c r="F209" s="3" t="n">
        <v>6</v>
      </c>
    </row>
    <row r="210" customFormat="false" ht="15" hidden="false" customHeight="true" outlineLevel="0" collapsed="false">
      <c r="A210" s="3" t="s">
        <v>14</v>
      </c>
      <c r="B210" s="3" t="n">
        <v>2</v>
      </c>
      <c r="C210" s="3" t="s">
        <v>8</v>
      </c>
      <c r="D210" s="3" t="n">
        <v>17</v>
      </c>
      <c r="E210" s="3" t="n">
        <v>160</v>
      </c>
      <c r="F210" s="3" t="n">
        <v>1</v>
      </c>
    </row>
    <row r="211" customFormat="false" ht="15" hidden="false" customHeight="true" outlineLevel="0" collapsed="false">
      <c r="A211" s="3" t="s">
        <v>14</v>
      </c>
      <c r="B211" s="3" t="n">
        <v>2</v>
      </c>
      <c r="C211" s="3" t="s">
        <v>8</v>
      </c>
      <c r="D211" s="3" t="n">
        <v>18</v>
      </c>
      <c r="E211" s="3" t="n">
        <v>120</v>
      </c>
      <c r="F211" s="3" t="n">
        <v>4</v>
      </c>
    </row>
    <row r="212" customFormat="false" ht="15" hidden="false" customHeight="true" outlineLevel="0" collapsed="false">
      <c r="A212" s="3" t="s">
        <v>14</v>
      </c>
      <c r="B212" s="3" t="n">
        <v>2</v>
      </c>
      <c r="C212" s="3" t="s">
        <v>8</v>
      </c>
      <c r="D212" s="3" t="n">
        <v>19</v>
      </c>
      <c r="E212" s="3" t="n">
        <v>90</v>
      </c>
      <c r="F212" s="3" t="n">
        <v>1</v>
      </c>
    </row>
    <row r="213" customFormat="false" ht="15" hidden="false" customHeight="true" outlineLevel="0" collapsed="false">
      <c r="A213" s="3" t="s">
        <v>14</v>
      </c>
      <c r="B213" s="3" t="n">
        <v>2</v>
      </c>
      <c r="C213" s="3" t="s">
        <v>8</v>
      </c>
      <c r="D213" s="3" t="n">
        <v>20</v>
      </c>
      <c r="E213" s="3" t="n">
        <v>90</v>
      </c>
      <c r="F213" s="3" t="n">
        <v>2</v>
      </c>
    </row>
    <row r="214" customFormat="false" ht="15" hidden="false" customHeight="true" outlineLevel="0" collapsed="false">
      <c r="A214" s="3" t="s">
        <v>14</v>
      </c>
      <c r="B214" s="3" t="n">
        <v>2</v>
      </c>
      <c r="C214" s="3" t="s">
        <v>8</v>
      </c>
      <c r="D214" s="3" t="n">
        <v>21</v>
      </c>
      <c r="E214" s="3" t="n">
        <v>145</v>
      </c>
      <c r="F214" s="3" t="n">
        <v>4</v>
      </c>
    </row>
    <row r="215" customFormat="false" ht="15" hidden="false" customHeight="true" outlineLevel="0" collapsed="false">
      <c r="A215" s="3" t="s">
        <v>14</v>
      </c>
      <c r="B215" s="3" t="n">
        <v>2</v>
      </c>
      <c r="C215" s="3" t="s">
        <v>8</v>
      </c>
      <c r="D215" s="3" t="n">
        <v>22</v>
      </c>
      <c r="E215" s="3" t="n">
        <v>99</v>
      </c>
      <c r="F215" s="3" t="n">
        <v>1</v>
      </c>
    </row>
    <row r="216" customFormat="false" ht="15" hidden="false" customHeight="true" outlineLevel="0" collapsed="false">
      <c r="A216" s="3" t="s">
        <v>14</v>
      </c>
      <c r="B216" s="3" t="n">
        <v>2</v>
      </c>
      <c r="C216" s="3" t="s">
        <v>8</v>
      </c>
      <c r="D216" s="3" t="n">
        <v>23</v>
      </c>
      <c r="E216" s="3" t="n">
        <v>29</v>
      </c>
      <c r="F216" s="3" t="n">
        <v>1</v>
      </c>
    </row>
    <row r="217" customFormat="false" ht="15" hidden="false" customHeight="true" outlineLevel="0" collapsed="false">
      <c r="A217" s="3" t="s">
        <v>14</v>
      </c>
      <c r="B217" s="3" t="n">
        <v>3</v>
      </c>
      <c r="C217" s="3" t="s">
        <v>9</v>
      </c>
      <c r="D217" s="3" t="n">
        <v>0</v>
      </c>
      <c r="E217" s="3" t="n">
        <v>10</v>
      </c>
      <c r="F217" s="3" t="n">
        <v>0</v>
      </c>
    </row>
    <row r="218" customFormat="false" ht="15" hidden="false" customHeight="true" outlineLevel="0" collapsed="false">
      <c r="A218" s="3" t="s">
        <v>14</v>
      </c>
      <c r="B218" s="3" t="n">
        <v>3</v>
      </c>
      <c r="C218" s="3" t="s">
        <v>9</v>
      </c>
      <c r="D218" s="3" t="n">
        <v>1</v>
      </c>
      <c r="E218" s="3" t="n">
        <v>12</v>
      </c>
      <c r="F218" s="3" t="n">
        <v>0</v>
      </c>
    </row>
    <row r="219" customFormat="false" ht="15" hidden="false" customHeight="true" outlineLevel="0" collapsed="false">
      <c r="A219" s="3" t="s">
        <v>14</v>
      </c>
      <c r="B219" s="3" t="n">
        <v>3</v>
      </c>
      <c r="C219" s="3" t="s">
        <v>9</v>
      </c>
      <c r="D219" s="3" t="n">
        <v>2</v>
      </c>
      <c r="E219" s="3" t="n">
        <v>20</v>
      </c>
      <c r="F219" s="3" t="n">
        <v>0</v>
      </c>
    </row>
    <row r="220" customFormat="false" ht="15" hidden="false" customHeight="true" outlineLevel="0" collapsed="false">
      <c r="A220" s="3" t="s">
        <v>14</v>
      </c>
      <c r="B220" s="3" t="n">
        <v>3</v>
      </c>
      <c r="C220" s="3" t="s">
        <v>9</v>
      </c>
      <c r="D220" s="3" t="n">
        <v>3</v>
      </c>
      <c r="E220" s="3" t="n">
        <v>8</v>
      </c>
      <c r="F220" s="3" t="n">
        <v>0</v>
      </c>
    </row>
    <row r="221" customFormat="false" ht="15" hidden="false" customHeight="true" outlineLevel="0" collapsed="false">
      <c r="A221" s="3" t="s">
        <v>14</v>
      </c>
      <c r="B221" s="3" t="n">
        <v>3</v>
      </c>
      <c r="C221" s="3" t="s">
        <v>9</v>
      </c>
      <c r="D221" s="3" t="n">
        <v>4</v>
      </c>
      <c r="E221" s="3" t="n">
        <v>2</v>
      </c>
      <c r="F221" s="3" t="n">
        <v>0</v>
      </c>
    </row>
    <row r="222" customFormat="false" ht="15" hidden="false" customHeight="true" outlineLevel="0" collapsed="false">
      <c r="A222" s="3" t="s">
        <v>14</v>
      </c>
      <c r="B222" s="3" t="n">
        <v>3</v>
      </c>
      <c r="C222" s="3" t="s">
        <v>9</v>
      </c>
      <c r="D222" s="3" t="n">
        <v>5</v>
      </c>
      <c r="E222" s="3" t="n">
        <v>3</v>
      </c>
      <c r="F222" s="3" t="n">
        <v>0</v>
      </c>
    </row>
    <row r="223" customFormat="false" ht="15" hidden="false" customHeight="true" outlineLevel="0" collapsed="false">
      <c r="A223" s="3" t="s">
        <v>14</v>
      </c>
      <c r="B223" s="3" t="n">
        <v>3</v>
      </c>
      <c r="C223" s="3" t="s">
        <v>9</v>
      </c>
      <c r="D223" s="3" t="n">
        <v>6</v>
      </c>
      <c r="E223" s="3" t="n">
        <v>7</v>
      </c>
      <c r="F223" s="3" t="n">
        <v>0</v>
      </c>
    </row>
    <row r="224" customFormat="false" ht="15" hidden="false" customHeight="true" outlineLevel="0" collapsed="false">
      <c r="A224" s="3" t="s">
        <v>14</v>
      </c>
      <c r="B224" s="3" t="n">
        <v>3</v>
      </c>
      <c r="C224" s="3" t="s">
        <v>9</v>
      </c>
      <c r="D224" s="3" t="n">
        <v>7</v>
      </c>
      <c r="E224" s="3" t="n">
        <v>17</v>
      </c>
      <c r="F224" s="3" t="n">
        <v>0</v>
      </c>
    </row>
    <row r="225" customFormat="false" ht="15" hidden="false" customHeight="true" outlineLevel="0" collapsed="false">
      <c r="A225" s="3" t="s">
        <v>14</v>
      </c>
      <c r="B225" s="3" t="n">
        <v>3</v>
      </c>
      <c r="C225" s="3" t="s">
        <v>9</v>
      </c>
      <c r="D225" s="3" t="n">
        <v>8</v>
      </c>
      <c r="E225" s="3" t="n">
        <v>64</v>
      </c>
      <c r="F225" s="3" t="n">
        <v>0</v>
      </c>
    </row>
    <row r="226" customFormat="false" ht="15" hidden="false" customHeight="true" outlineLevel="0" collapsed="false">
      <c r="A226" s="3" t="s">
        <v>14</v>
      </c>
      <c r="B226" s="3" t="n">
        <v>3</v>
      </c>
      <c r="C226" s="3" t="s">
        <v>9</v>
      </c>
      <c r="D226" s="3" t="n">
        <v>9</v>
      </c>
      <c r="E226" s="3" t="n">
        <v>154</v>
      </c>
      <c r="F226" s="3" t="n">
        <v>1</v>
      </c>
    </row>
    <row r="227" customFormat="false" ht="15" hidden="false" customHeight="true" outlineLevel="0" collapsed="false">
      <c r="A227" s="3" t="s">
        <v>14</v>
      </c>
      <c r="B227" s="3" t="n">
        <v>3</v>
      </c>
      <c r="C227" s="3" t="s">
        <v>9</v>
      </c>
      <c r="D227" s="3" t="n">
        <v>10</v>
      </c>
      <c r="E227" s="3" t="n">
        <v>166</v>
      </c>
      <c r="F227" s="3" t="n">
        <v>1</v>
      </c>
    </row>
    <row r="228" customFormat="false" ht="15" hidden="false" customHeight="true" outlineLevel="0" collapsed="false">
      <c r="A228" s="3" t="s">
        <v>14</v>
      </c>
      <c r="B228" s="3" t="n">
        <v>3</v>
      </c>
      <c r="C228" s="3" t="s">
        <v>9</v>
      </c>
      <c r="D228" s="3" t="n">
        <v>11</v>
      </c>
      <c r="E228" s="3" t="n">
        <v>274</v>
      </c>
      <c r="F228" s="3" t="n">
        <v>3</v>
      </c>
    </row>
    <row r="229" customFormat="false" ht="15" hidden="false" customHeight="true" outlineLevel="0" collapsed="false">
      <c r="A229" s="3" t="s">
        <v>14</v>
      </c>
      <c r="B229" s="3" t="n">
        <v>3</v>
      </c>
      <c r="C229" s="3" t="s">
        <v>9</v>
      </c>
      <c r="D229" s="3" t="n">
        <v>12</v>
      </c>
      <c r="E229" s="3" t="n">
        <v>367</v>
      </c>
      <c r="F229" s="3" t="n">
        <v>6</v>
      </c>
    </row>
    <row r="230" customFormat="false" ht="15" hidden="false" customHeight="true" outlineLevel="0" collapsed="false">
      <c r="A230" s="3" t="s">
        <v>14</v>
      </c>
      <c r="B230" s="3" t="n">
        <v>3</v>
      </c>
      <c r="C230" s="3" t="s">
        <v>9</v>
      </c>
      <c r="D230" s="3" t="n">
        <v>13</v>
      </c>
      <c r="E230" s="3" t="n">
        <v>368</v>
      </c>
      <c r="F230" s="3" t="n">
        <v>4</v>
      </c>
    </row>
    <row r="231" customFormat="false" ht="15" hidden="false" customHeight="true" outlineLevel="0" collapsed="false">
      <c r="A231" s="3" t="s">
        <v>14</v>
      </c>
      <c r="B231" s="3" t="n">
        <v>3</v>
      </c>
      <c r="C231" s="3" t="s">
        <v>9</v>
      </c>
      <c r="D231" s="3" t="n">
        <v>14</v>
      </c>
      <c r="E231" s="3" t="n">
        <v>231</v>
      </c>
      <c r="F231" s="3" t="n">
        <v>4</v>
      </c>
    </row>
    <row r="232" customFormat="false" ht="15" hidden="false" customHeight="true" outlineLevel="0" collapsed="false">
      <c r="A232" s="3" t="s">
        <v>14</v>
      </c>
      <c r="B232" s="3" t="n">
        <v>3</v>
      </c>
      <c r="C232" s="3" t="s">
        <v>9</v>
      </c>
      <c r="D232" s="3" t="n">
        <v>15</v>
      </c>
      <c r="E232" s="3" t="n">
        <v>277</v>
      </c>
      <c r="F232" s="3" t="n">
        <v>5</v>
      </c>
    </row>
    <row r="233" customFormat="false" ht="15" hidden="false" customHeight="true" outlineLevel="0" collapsed="false">
      <c r="A233" s="3" t="s">
        <v>14</v>
      </c>
      <c r="B233" s="3" t="n">
        <v>3</v>
      </c>
      <c r="C233" s="3" t="s">
        <v>9</v>
      </c>
      <c r="D233" s="3" t="n">
        <v>16</v>
      </c>
      <c r="E233" s="3" t="n">
        <v>216</v>
      </c>
      <c r="F233" s="3" t="n">
        <v>8</v>
      </c>
    </row>
    <row r="234" customFormat="false" ht="15" hidden="false" customHeight="true" outlineLevel="0" collapsed="false">
      <c r="A234" s="3" t="s">
        <v>14</v>
      </c>
      <c r="B234" s="3" t="n">
        <v>3</v>
      </c>
      <c r="C234" s="3" t="s">
        <v>9</v>
      </c>
      <c r="D234" s="3" t="n">
        <v>17</v>
      </c>
      <c r="E234" s="3" t="n">
        <v>228</v>
      </c>
      <c r="F234" s="3" t="n">
        <v>3</v>
      </c>
    </row>
    <row r="235" customFormat="false" ht="15" hidden="false" customHeight="true" outlineLevel="0" collapsed="false">
      <c r="A235" s="3" t="s">
        <v>14</v>
      </c>
      <c r="B235" s="3" t="n">
        <v>3</v>
      </c>
      <c r="C235" s="3" t="s">
        <v>9</v>
      </c>
      <c r="D235" s="3" t="n">
        <v>18</v>
      </c>
      <c r="E235" s="3" t="n">
        <v>246</v>
      </c>
      <c r="F235" s="3" t="n">
        <v>7</v>
      </c>
    </row>
    <row r="236" customFormat="false" ht="15" hidden="false" customHeight="true" outlineLevel="0" collapsed="false">
      <c r="A236" s="3" t="s">
        <v>14</v>
      </c>
      <c r="B236" s="3" t="n">
        <v>3</v>
      </c>
      <c r="C236" s="3" t="s">
        <v>9</v>
      </c>
      <c r="D236" s="3" t="n">
        <v>19</v>
      </c>
      <c r="E236" s="3" t="n">
        <v>215</v>
      </c>
      <c r="F236" s="3" t="n">
        <v>4</v>
      </c>
    </row>
    <row r="237" customFormat="false" ht="15" hidden="false" customHeight="true" outlineLevel="0" collapsed="false">
      <c r="A237" s="3" t="s">
        <v>14</v>
      </c>
      <c r="B237" s="3" t="n">
        <v>3</v>
      </c>
      <c r="C237" s="3" t="s">
        <v>9</v>
      </c>
      <c r="D237" s="3" t="n">
        <v>20</v>
      </c>
      <c r="E237" s="3" t="n">
        <v>204</v>
      </c>
      <c r="F237" s="3" t="n">
        <v>4</v>
      </c>
    </row>
    <row r="238" customFormat="false" ht="15" hidden="false" customHeight="true" outlineLevel="0" collapsed="false">
      <c r="A238" s="3" t="s">
        <v>14</v>
      </c>
      <c r="B238" s="3" t="n">
        <v>3</v>
      </c>
      <c r="C238" s="3" t="s">
        <v>9</v>
      </c>
      <c r="D238" s="3" t="n">
        <v>21</v>
      </c>
      <c r="E238" s="3" t="n">
        <v>153</v>
      </c>
      <c r="F238" s="3" t="n">
        <v>2</v>
      </c>
    </row>
    <row r="239" customFormat="false" ht="15" hidden="false" customHeight="true" outlineLevel="0" collapsed="false">
      <c r="A239" s="3" t="s">
        <v>14</v>
      </c>
      <c r="B239" s="3" t="n">
        <v>3</v>
      </c>
      <c r="C239" s="3" t="s">
        <v>9</v>
      </c>
      <c r="D239" s="3" t="n">
        <v>22</v>
      </c>
      <c r="E239" s="3" t="n">
        <v>157</v>
      </c>
      <c r="F239" s="3" t="n">
        <v>3</v>
      </c>
    </row>
    <row r="240" customFormat="false" ht="15" hidden="false" customHeight="true" outlineLevel="0" collapsed="false">
      <c r="A240" s="3" t="s">
        <v>14</v>
      </c>
      <c r="B240" s="3" t="n">
        <v>3</v>
      </c>
      <c r="C240" s="3" t="s">
        <v>9</v>
      </c>
      <c r="D240" s="3" t="n">
        <v>23</v>
      </c>
      <c r="E240" s="3" t="n">
        <v>91</v>
      </c>
      <c r="F240" s="3" t="n">
        <v>0</v>
      </c>
    </row>
    <row r="241" customFormat="false" ht="15" hidden="false" customHeight="true" outlineLevel="0" collapsed="false">
      <c r="A241" s="3" t="s">
        <v>14</v>
      </c>
      <c r="B241" s="3" t="n">
        <v>4</v>
      </c>
      <c r="C241" s="3" t="s">
        <v>10</v>
      </c>
      <c r="D241" s="3" t="n">
        <v>0</v>
      </c>
      <c r="E241" s="3" t="n">
        <v>44</v>
      </c>
      <c r="F241" s="3" t="n">
        <v>0</v>
      </c>
    </row>
    <row r="242" customFormat="false" ht="15" hidden="false" customHeight="true" outlineLevel="0" collapsed="false">
      <c r="A242" s="3" t="s">
        <v>14</v>
      </c>
      <c r="B242" s="3" t="n">
        <v>4</v>
      </c>
      <c r="C242" s="3" t="s">
        <v>10</v>
      </c>
      <c r="D242" s="3" t="n">
        <v>1</v>
      </c>
      <c r="E242" s="3" t="n">
        <v>34</v>
      </c>
      <c r="F242" s="3" t="n">
        <v>0</v>
      </c>
    </row>
    <row r="243" customFormat="false" ht="15" hidden="false" customHeight="true" outlineLevel="0" collapsed="false">
      <c r="A243" s="3" t="s">
        <v>14</v>
      </c>
      <c r="B243" s="3" t="n">
        <v>4</v>
      </c>
      <c r="C243" s="3" t="s">
        <v>10</v>
      </c>
      <c r="D243" s="3" t="n">
        <v>2</v>
      </c>
      <c r="E243" s="3" t="n">
        <v>39</v>
      </c>
      <c r="F243" s="3" t="n">
        <v>0</v>
      </c>
    </row>
    <row r="244" customFormat="false" ht="15" hidden="false" customHeight="true" outlineLevel="0" collapsed="false">
      <c r="A244" s="3" t="s">
        <v>14</v>
      </c>
      <c r="B244" s="3" t="n">
        <v>4</v>
      </c>
      <c r="C244" s="3" t="s">
        <v>10</v>
      </c>
      <c r="D244" s="3" t="n">
        <v>3</v>
      </c>
      <c r="E244" s="3" t="n">
        <v>8</v>
      </c>
      <c r="F244" s="3" t="n">
        <v>0</v>
      </c>
    </row>
    <row r="245" customFormat="false" ht="15" hidden="false" customHeight="true" outlineLevel="0" collapsed="false">
      <c r="A245" s="3" t="s">
        <v>14</v>
      </c>
      <c r="B245" s="3" t="n">
        <v>4</v>
      </c>
      <c r="C245" s="3" t="s">
        <v>10</v>
      </c>
      <c r="D245" s="3" t="n">
        <v>4</v>
      </c>
      <c r="E245" s="3" t="n">
        <v>6</v>
      </c>
      <c r="F245" s="3" t="n">
        <v>0</v>
      </c>
    </row>
    <row r="246" customFormat="false" ht="15" hidden="false" customHeight="true" outlineLevel="0" collapsed="false">
      <c r="A246" s="3" t="s">
        <v>14</v>
      </c>
      <c r="B246" s="3" t="n">
        <v>4</v>
      </c>
      <c r="C246" s="3" t="s">
        <v>10</v>
      </c>
      <c r="D246" s="3" t="n">
        <v>5</v>
      </c>
      <c r="E246" s="3" t="n">
        <v>5</v>
      </c>
      <c r="F246" s="3" t="n">
        <v>0</v>
      </c>
    </row>
    <row r="247" customFormat="false" ht="15" hidden="false" customHeight="true" outlineLevel="0" collapsed="false">
      <c r="A247" s="3" t="s">
        <v>14</v>
      </c>
      <c r="B247" s="3" t="n">
        <v>4</v>
      </c>
      <c r="C247" s="3" t="s">
        <v>10</v>
      </c>
      <c r="D247" s="3" t="n">
        <v>6</v>
      </c>
      <c r="E247" s="3" t="n">
        <v>18</v>
      </c>
      <c r="F247" s="3" t="n">
        <v>0</v>
      </c>
    </row>
    <row r="248" customFormat="false" ht="15" hidden="false" customHeight="true" outlineLevel="0" collapsed="false">
      <c r="A248" s="3" t="s">
        <v>14</v>
      </c>
      <c r="B248" s="3" t="n">
        <v>4</v>
      </c>
      <c r="C248" s="3" t="s">
        <v>10</v>
      </c>
      <c r="D248" s="3" t="n">
        <v>7</v>
      </c>
      <c r="E248" s="3" t="n">
        <v>60</v>
      </c>
      <c r="F248" s="3" t="n">
        <v>0</v>
      </c>
    </row>
    <row r="249" customFormat="false" ht="15" hidden="false" customHeight="true" outlineLevel="0" collapsed="false">
      <c r="A249" s="3" t="s">
        <v>14</v>
      </c>
      <c r="B249" s="3" t="n">
        <v>4</v>
      </c>
      <c r="C249" s="3" t="s">
        <v>10</v>
      </c>
      <c r="D249" s="3" t="n">
        <v>8</v>
      </c>
      <c r="E249" s="3" t="n">
        <v>140</v>
      </c>
      <c r="F249" s="3" t="n">
        <v>4</v>
      </c>
    </row>
    <row r="250" customFormat="false" ht="15" hidden="false" customHeight="true" outlineLevel="0" collapsed="false">
      <c r="A250" s="3" t="s">
        <v>14</v>
      </c>
      <c r="B250" s="3" t="n">
        <v>4</v>
      </c>
      <c r="C250" s="3" t="s">
        <v>10</v>
      </c>
      <c r="D250" s="3" t="n">
        <v>9</v>
      </c>
      <c r="E250" s="3" t="n">
        <v>220</v>
      </c>
      <c r="F250" s="3" t="n">
        <v>4</v>
      </c>
    </row>
    <row r="251" customFormat="false" ht="15" hidden="false" customHeight="true" outlineLevel="0" collapsed="false">
      <c r="A251" s="3" t="s">
        <v>14</v>
      </c>
      <c r="B251" s="3" t="n">
        <v>4</v>
      </c>
      <c r="C251" s="3" t="s">
        <v>10</v>
      </c>
      <c r="D251" s="3" t="n">
        <v>10</v>
      </c>
      <c r="E251" s="3" t="n">
        <v>233</v>
      </c>
      <c r="F251" s="3" t="n">
        <v>1</v>
      </c>
    </row>
    <row r="252" customFormat="false" ht="15" hidden="false" customHeight="true" outlineLevel="0" collapsed="false">
      <c r="A252" s="3" t="s">
        <v>14</v>
      </c>
      <c r="B252" s="3" t="n">
        <v>4</v>
      </c>
      <c r="C252" s="3" t="s">
        <v>10</v>
      </c>
      <c r="D252" s="3" t="n">
        <v>11</v>
      </c>
      <c r="E252" s="3" t="n">
        <v>283</v>
      </c>
      <c r="F252" s="3" t="n">
        <v>5</v>
      </c>
    </row>
    <row r="253" customFormat="false" ht="15" hidden="false" customHeight="true" outlineLevel="0" collapsed="false">
      <c r="A253" s="3" t="s">
        <v>14</v>
      </c>
      <c r="B253" s="3" t="n">
        <v>4</v>
      </c>
      <c r="C253" s="3" t="s">
        <v>10</v>
      </c>
      <c r="D253" s="3" t="n">
        <v>12</v>
      </c>
      <c r="E253" s="3" t="n">
        <v>317</v>
      </c>
      <c r="F253" s="3" t="n">
        <v>7</v>
      </c>
    </row>
    <row r="254" customFormat="false" ht="15" hidden="false" customHeight="true" outlineLevel="0" collapsed="false">
      <c r="A254" s="3" t="s">
        <v>14</v>
      </c>
      <c r="B254" s="3" t="n">
        <v>4</v>
      </c>
      <c r="C254" s="3" t="s">
        <v>10</v>
      </c>
      <c r="D254" s="3" t="n">
        <v>13</v>
      </c>
      <c r="E254" s="3" t="n">
        <v>368</v>
      </c>
      <c r="F254" s="3" t="n">
        <v>5</v>
      </c>
    </row>
    <row r="255" customFormat="false" ht="15" hidden="false" customHeight="true" outlineLevel="0" collapsed="false">
      <c r="A255" s="3" t="s">
        <v>14</v>
      </c>
      <c r="B255" s="3" t="n">
        <v>4</v>
      </c>
      <c r="C255" s="3" t="s">
        <v>10</v>
      </c>
      <c r="D255" s="3" t="n">
        <v>14</v>
      </c>
      <c r="E255" s="3" t="n">
        <v>323</v>
      </c>
      <c r="F255" s="3" t="n">
        <v>8</v>
      </c>
    </row>
    <row r="256" customFormat="false" ht="15" hidden="false" customHeight="true" outlineLevel="0" collapsed="false">
      <c r="A256" s="3" t="s">
        <v>14</v>
      </c>
      <c r="B256" s="3" t="n">
        <v>4</v>
      </c>
      <c r="C256" s="3" t="s">
        <v>10</v>
      </c>
      <c r="D256" s="3" t="n">
        <v>15</v>
      </c>
      <c r="E256" s="3" t="n">
        <v>282</v>
      </c>
      <c r="F256" s="3" t="n">
        <v>8</v>
      </c>
    </row>
    <row r="257" customFormat="false" ht="15" hidden="false" customHeight="true" outlineLevel="0" collapsed="false">
      <c r="A257" s="3" t="s">
        <v>14</v>
      </c>
      <c r="B257" s="3" t="n">
        <v>4</v>
      </c>
      <c r="C257" s="3" t="s">
        <v>10</v>
      </c>
      <c r="D257" s="3" t="n">
        <v>16</v>
      </c>
      <c r="E257" s="3" t="n">
        <v>263</v>
      </c>
      <c r="F257" s="3" t="n">
        <v>9</v>
      </c>
    </row>
    <row r="258" customFormat="false" ht="15" hidden="false" customHeight="true" outlineLevel="0" collapsed="false">
      <c r="A258" s="3" t="s">
        <v>14</v>
      </c>
      <c r="B258" s="3" t="n">
        <v>4</v>
      </c>
      <c r="C258" s="3" t="s">
        <v>10</v>
      </c>
      <c r="D258" s="3" t="n">
        <v>17</v>
      </c>
      <c r="E258" s="3" t="n">
        <v>232</v>
      </c>
      <c r="F258" s="3" t="n">
        <v>4</v>
      </c>
    </row>
    <row r="259" customFormat="false" ht="15" hidden="false" customHeight="true" outlineLevel="0" collapsed="false">
      <c r="A259" s="3" t="s">
        <v>14</v>
      </c>
      <c r="B259" s="3" t="n">
        <v>4</v>
      </c>
      <c r="C259" s="3" t="s">
        <v>10</v>
      </c>
      <c r="D259" s="3" t="n">
        <v>18</v>
      </c>
      <c r="E259" s="3" t="n">
        <v>205</v>
      </c>
      <c r="F259" s="3" t="n">
        <v>5</v>
      </c>
    </row>
    <row r="260" customFormat="false" ht="15" hidden="false" customHeight="true" outlineLevel="0" collapsed="false">
      <c r="A260" s="3" t="s">
        <v>14</v>
      </c>
      <c r="B260" s="3" t="n">
        <v>4</v>
      </c>
      <c r="C260" s="3" t="s">
        <v>10</v>
      </c>
      <c r="D260" s="3" t="n">
        <v>19</v>
      </c>
      <c r="E260" s="3" t="n">
        <v>193</v>
      </c>
      <c r="F260" s="3" t="n">
        <v>3</v>
      </c>
    </row>
    <row r="261" customFormat="false" ht="15" hidden="false" customHeight="true" outlineLevel="0" collapsed="false">
      <c r="A261" s="3" t="s">
        <v>14</v>
      </c>
      <c r="B261" s="3" t="n">
        <v>4</v>
      </c>
      <c r="C261" s="3" t="s">
        <v>10</v>
      </c>
      <c r="D261" s="3" t="n">
        <v>20</v>
      </c>
      <c r="E261" s="3" t="n">
        <v>178</v>
      </c>
      <c r="F261" s="3" t="n">
        <v>3</v>
      </c>
    </row>
    <row r="262" customFormat="false" ht="15" hidden="false" customHeight="true" outlineLevel="0" collapsed="false">
      <c r="A262" s="3" t="s">
        <v>14</v>
      </c>
      <c r="B262" s="3" t="n">
        <v>4</v>
      </c>
      <c r="C262" s="3" t="s">
        <v>10</v>
      </c>
      <c r="D262" s="3" t="n">
        <v>21</v>
      </c>
      <c r="E262" s="3" t="n">
        <v>175</v>
      </c>
      <c r="F262" s="3" t="n">
        <v>4</v>
      </c>
    </row>
    <row r="263" customFormat="false" ht="15" hidden="false" customHeight="true" outlineLevel="0" collapsed="false">
      <c r="A263" s="3" t="s">
        <v>14</v>
      </c>
      <c r="B263" s="3" t="n">
        <v>4</v>
      </c>
      <c r="C263" s="3" t="s">
        <v>10</v>
      </c>
      <c r="D263" s="3" t="n">
        <v>22</v>
      </c>
      <c r="E263" s="3" t="n">
        <v>160</v>
      </c>
      <c r="F263" s="3" t="n">
        <v>6</v>
      </c>
    </row>
    <row r="264" customFormat="false" ht="15" hidden="false" customHeight="true" outlineLevel="0" collapsed="false">
      <c r="A264" s="3" t="s">
        <v>14</v>
      </c>
      <c r="B264" s="3" t="n">
        <v>4</v>
      </c>
      <c r="C264" s="3" t="s">
        <v>10</v>
      </c>
      <c r="D264" s="3" t="n">
        <v>23</v>
      </c>
      <c r="E264" s="3" t="n">
        <v>119</v>
      </c>
      <c r="F264" s="3" t="n">
        <v>3</v>
      </c>
    </row>
    <row r="265" customFormat="false" ht="15" hidden="false" customHeight="true" outlineLevel="0" collapsed="false">
      <c r="A265" s="3" t="s">
        <v>14</v>
      </c>
      <c r="B265" s="3" t="n">
        <v>5</v>
      </c>
      <c r="C265" s="3" t="s">
        <v>11</v>
      </c>
      <c r="D265" s="3" t="n">
        <v>0</v>
      </c>
      <c r="E265" s="3" t="n">
        <v>34</v>
      </c>
      <c r="F265" s="3" t="n">
        <v>0</v>
      </c>
    </row>
    <row r="266" customFormat="false" ht="15" hidden="false" customHeight="true" outlineLevel="0" collapsed="false">
      <c r="A266" s="3" t="s">
        <v>14</v>
      </c>
      <c r="B266" s="3" t="n">
        <v>5</v>
      </c>
      <c r="C266" s="3" t="s">
        <v>11</v>
      </c>
      <c r="D266" s="3" t="n">
        <v>1</v>
      </c>
      <c r="E266" s="3" t="n">
        <v>29</v>
      </c>
      <c r="F266" s="3" t="n">
        <v>0</v>
      </c>
    </row>
    <row r="267" customFormat="false" ht="15" hidden="false" customHeight="true" outlineLevel="0" collapsed="false">
      <c r="A267" s="3" t="s">
        <v>14</v>
      </c>
      <c r="B267" s="3" t="n">
        <v>5</v>
      </c>
      <c r="C267" s="3" t="s">
        <v>11</v>
      </c>
      <c r="D267" s="3" t="n">
        <v>2</v>
      </c>
      <c r="E267" s="3" t="n">
        <v>25</v>
      </c>
      <c r="F267" s="3" t="n">
        <v>0</v>
      </c>
    </row>
    <row r="268" customFormat="false" ht="15" hidden="false" customHeight="true" outlineLevel="0" collapsed="false">
      <c r="A268" s="3" t="s">
        <v>14</v>
      </c>
      <c r="B268" s="3" t="n">
        <v>5</v>
      </c>
      <c r="C268" s="3" t="s">
        <v>11</v>
      </c>
      <c r="D268" s="3" t="n">
        <v>3</v>
      </c>
      <c r="E268" s="3" t="n">
        <v>27</v>
      </c>
      <c r="F268" s="3" t="n">
        <v>0</v>
      </c>
    </row>
    <row r="269" customFormat="false" ht="15" hidden="false" customHeight="true" outlineLevel="0" collapsed="false">
      <c r="A269" s="3" t="s">
        <v>14</v>
      </c>
      <c r="B269" s="3" t="n">
        <v>5</v>
      </c>
      <c r="C269" s="3" t="s">
        <v>11</v>
      </c>
      <c r="D269" s="3" t="n">
        <v>4</v>
      </c>
      <c r="E269" s="3" t="n">
        <v>4</v>
      </c>
      <c r="F269" s="3" t="n">
        <v>0</v>
      </c>
    </row>
    <row r="270" customFormat="false" ht="15" hidden="false" customHeight="true" outlineLevel="0" collapsed="false">
      <c r="A270" s="3" t="s">
        <v>14</v>
      </c>
      <c r="B270" s="3" t="n">
        <v>5</v>
      </c>
      <c r="C270" s="3" t="s">
        <v>11</v>
      </c>
      <c r="D270" s="3" t="n">
        <v>5</v>
      </c>
      <c r="E270" s="3" t="n">
        <v>6</v>
      </c>
      <c r="F270" s="3" t="n">
        <v>0</v>
      </c>
    </row>
    <row r="271" customFormat="false" ht="15" hidden="false" customHeight="true" outlineLevel="0" collapsed="false">
      <c r="A271" s="3" t="s">
        <v>14</v>
      </c>
      <c r="B271" s="3" t="n">
        <v>5</v>
      </c>
      <c r="C271" s="3" t="s">
        <v>11</v>
      </c>
      <c r="D271" s="3" t="n">
        <v>6</v>
      </c>
      <c r="E271" s="3" t="n">
        <v>13</v>
      </c>
      <c r="F271" s="3" t="n">
        <v>0</v>
      </c>
    </row>
    <row r="272" customFormat="false" ht="15" hidden="false" customHeight="true" outlineLevel="0" collapsed="false">
      <c r="A272" s="3" t="s">
        <v>14</v>
      </c>
      <c r="B272" s="3" t="n">
        <v>5</v>
      </c>
      <c r="C272" s="3" t="s">
        <v>11</v>
      </c>
      <c r="D272" s="3" t="n">
        <v>7</v>
      </c>
      <c r="E272" s="3" t="n">
        <v>54</v>
      </c>
      <c r="F272" s="3" t="n">
        <v>1</v>
      </c>
    </row>
    <row r="273" customFormat="false" ht="15" hidden="false" customHeight="true" outlineLevel="0" collapsed="false">
      <c r="A273" s="3" t="s">
        <v>14</v>
      </c>
      <c r="B273" s="3" t="n">
        <v>5</v>
      </c>
      <c r="C273" s="3" t="s">
        <v>11</v>
      </c>
      <c r="D273" s="3" t="n">
        <v>8</v>
      </c>
      <c r="E273" s="3" t="n">
        <v>110</v>
      </c>
      <c r="F273" s="3" t="n">
        <v>1</v>
      </c>
    </row>
    <row r="274" customFormat="false" ht="15" hidden="false" customHeight="true" outlineLevel="0" collapsed="false">
      <c r="A274" s="3" t="s">
        <v>14</v>
      </c>
      <c r="B274" s="3" t="n">
        <v>5</v>
      </c>
      <c r="C274" s="3" t="s">
        <v>11</v>
      </c>
      <c r="D274" s="3" t="n">
        <v>9</v>
      </c>
      <c r="E274" s="3" t="n">
        <v>200</v>
      </c>
      <c r="F274" s="3" t="n">
        <v>2</v>
      </c>
    </row>
    <row r="275" customFormat="false" ht="15" hidden="false" customHeight="true" outlineLevel="0" collapsed="false">
      <c r="A275" s="3" t="s">
        <v>14</v>
      </c>
      <c r="B275" s="3" t="n">
        <v>5</v>
      </c>
      <c r="C275" s="3" t="s">
        <v>11</v>
      </c>
      <c r="D275" s="3" t="n">
        <v>10</v>
      </c>
      <c r="E275" s="3" t="n">
        <v>223</v>
      </c>
      <c r="F275" s="3" t="n">
        <v>5</v>
      </c>
    </row>
    <row r="276" customFormat="false" ht="15" hidden="false" customHeight="true" outlineLevel="0" collapsed="false">
      <c r="A276" s="3" t="s">
        <v>14</v>
      </c>
      <c r="B276" s="3" t="n">
        <v>5</v>
      </c>
      <c r="C276" s="3" t="s">
        <v>11</v>
      </c>
      <c r="D276" s="3" t="n">
        <v>11</v>
      </c>
      <c r="E276" s="3" t="n">
        <v>356</v>
      </c>
      <c r="F276" s="3" t="n">
        <v>5</v>
      </c>
    </row>
    <row r="277" customFormat="false" ht="15" hidden="false" customHeight="true" outlineLevel="0" collapsed="false">
      <c r="A277" s="3" t="s">
        <v>14</v>
      </c>
      <c r="B277" s="3" t="n">
        <v>5</v>
      </c>
      <c r="C277" s="3" t="s">
        <v>11</v>
      </c>
      <c r="D277" s="3" t="n">
        <v>12</v>
      </c>
      <c r="E277" s="3" t="n">
        <v>370</v>
      </c>
      <c r="F277" s="3" t="n">
        <v>5</v>
      </c>
    </row>
    <row r="278" customFormat="false" ht="15" hidden="false" customHeight="true" outlineLevel="0" collapsed="false">
      <c r="A278" s="3" t="s">
        <v>14</v>
      </c>
      <c r="B278" s="3" t="n">
        <v>5</v>
      </c>
      <c r="C278" s="3" t="s">
        <v>11</v>
      </c>
      <c r="D278" s="3" t="n">
        <v>13</v>
      </c>
      <c r="E278" s="3" t="n">
        <v>328</v>
      </c>
      <c r="F278" s="3" t="n">
        <v>3</v>
      </c>
    </row>
    <row r="279" customFormat="false" ht="15" hidden="false" customHeight="true" outlineLevel="0" collapsed="false">
      <c r="A279" s="3" t="s">
        <v>14</v>
      </c>
      <c r="B279" s="3" t="n">
        <v>5</v>
      </c>
      <c r="C279" s="3" t="s">
        <v>11</v>
      </c>
      <c r="D279" s="3" t="n">
        <v>14</v>
      </c>
      <c r="E279" s="3" t="n">
        <v>310</v>
      </c>
      <c r="F279" s="3" t="n">
        <v>1</v>
      </c>
    </row>
    <row r="280" customFormat="false" ht="15" hidden="false" customHeight="true" outlineLevel="0" collapsed="false">
      <c r="A280" s="3" t="s">
        <v>14</v>
      </c>
      <c r="B280" s="3" t="n">
        <v>5</v>
      </c>
      <c r="C280" s="3" t="s">
        <v>11</v>
      </c>
      <c r="D280" s="3" t="n">
        <v>15</v>
      </c>
      <c r="E280" s="3" t="n">
        <v>285</v>
      </c>
      <c r="F280" s="3" t="n">
        <v>6</v>
      </c>
    </row>
    <row r="281" customFormat="false" ht="15" hidden="false" customHeight="true" outlineLevel="0" collapsed="false">
      <c r="A281" s="3" t="s">
        <v>14</v>
      </c>
      <c r="B281" s="3" t="n">
        <v>5</v>
      </c>
      <c r="C281" s="3" t="s">
        <v>11</v>
      </c>
      <c r="D281" s="3" t="n">
        <v>16</v>
      </c>
      <c r="E281" s="3" t="n">
        <v>278</v>
      </c>
      <c r="F281" s="3" t="n">
        <v>3</v>
      </c>
    </row>
    <row r="282" customFormat="false" ht="15" hidden="false" customHeight="true" outlineLevel="0" collapsed="false">
      <c r="A282" s="3" t="s">
        <v>14</v>
      </c>
      <c r="B282" s="3" t="n">
        <v>5</v>
      </c>
      <c r="C282" s="3" t="s">
        <v>11</v>
      </c>
      <c r="D282" s="3" t="n">
        <v>17</v>
      </c>
      <c r="E282" s="3" t="n">
        <v>205</v>
      </c>
      <c r="F282" s="3" t="n">
        <v>5</v>
      </c>
    </row>
    <row r="283" customFormat="false" ht="15" hidden="false" customHeight="true" outlineLevel="0" collapsed="false">
      <c r="A283" s="3" t="s">
        <v>14</v>
      </c>
      <c r="B283" s="3" t="n">
        <v>5</v>
      </c>
      <c r="C283" s="3" t="s">
        <v>11</v>
      </c>
      <c r="D283" s="3" t="n">
        <v>18</v>
      </c>
      <c r="E283" s="3" t="n">
        <v>203</v>
      </c>
      <c r="F283" s="3" t="n">
        <v>6</v>
      </c>
    </row>
    <row r="284" customFormat="false" ht="15" hidden="false" customHeight="true" outlineLevel="0" collapsed="false">
      <c r="A284" s="3" t="s">
        <v>14</v>
      </c>
      <c r="B284" s="3" t="n">
        <v>5</v>
      </c>
      <c r="C284" s="3" t="s">
        <v>11</v>
      </c>
      <c r="D284" s="3" t="n">
        <v>19</v>
      </c>
      <c r="E284" s="3" t="n">
        <v>180</v>
      </c>
      <c r="F284" s="3" t="n">
        <v>7</v>
      </c>
    </row>
    <row r="285" customFormat="false" ht="15" hidden="false" customHeight="true" outlineLevel="0" collapsed="false">
      <c r="A285" s="3" t="s">
        <v>14</v>
      </c>
      <c r="B285" s="3" t="n">
        <v>5</v>
      </c>
      <c r="C285" s="3" t="s">
        <v>11</v>
      </c>
      <c r="D285" s="3" t="n">
        <v>20</v>
      </c>
      <c r="E285" s="3" t="n">
        <v>133</v>
      </c>
      <c r="F285" s="3" t="n">
        <v>2</v>
      </c>
    </row>
    <row r="286" customFormat="false" ht="15" hidden="false" customHeight="true" outlineLevel="0" collapsed="false">
      <c r="A286" s="3" t="s">
        <v>14</v>
      </c>
      <c r="B286" s="3" t="n">
        <v>5</v>
      </c>
      <c r="C286" s="3" t="s">
        <v>11</v>
      </c>
      <c r="D286" s="3" t="n">
        <v>21</v>
      </c>
      <c r="E286" s="3" t="n">
        <v>196</v>
      </c>
      <c r="F286" s="3" t="n">
        <v>7</v>
      </c>
    </row>
    <row r="287" customFormat="false" ht="15" hidden="false" customHeight="true" outlineLevel="0" collapsed="false">
      <c r="A287" s="3" t="s">
        <v>14</v>
      </c>
      <c r="B287" s="3" t="n">
        <v>5</v>
      </c>
      <c r="C287" s="3" t="s">
        <v>11</v>
      </c>
      <c r="D287" s="3" t="n">
        <v>22</v>
      </c>
      <c r="E287" s="3" t="n">
        <v>135</v>
      </c>
      <c r="F287" s="3" t="n">
        <v>0</v>
      </c>
    </row>
    <row r="288" customFormat="false" ht="15" hidden="false" customHeight="true" outlineLevel="0" collapsed="false">
      <c r="A288" s="3" t="s">
        <v>14</v>
      </c>
      <c r="B288" s="3" t="n">
        <v>5</v>
      </c>
      <c r="C288" s="3" t="s">
        <v>11</v>
      </c>
      <c r="D288" s="3" t="n">
        <v>23</v>
      </c>
      <c r="E288" s="3" t="n">
        <v>99</v>
      </c>
      <c r="F288" s="3" t="n">
        <v>3</v>
      </c>
    </row>
    <row r="289" customFormat="false" ht="15" hidden="false" customHeight="true" outlineLevel="0" collapsed="false">
      <c r="A289" s="3" t="s">
        <v>14</v>
      </c>
      <c r="B289" s="3" t="n">
        <v>6</v>
      </c>
      <c r="C289" s="3" t="s">
        <v>12</v>
      </c>
      <c r="D289" s="3" t="n">
        <v>0</v>
      </c>
      <c r="E289" s="3" t="n">
        <v>28</v>
      </c>
      <c r="F289" s="3" t="n">
        <v>0</v>
      </c>
    </row>
    <row r="290" customFormat="false" ht="15" hidden="false" customHeight="true" outlineLevel="0" collapsed="false">
      <c r="A290" s="3" t="s">
        <v>14</v>
      </c>
      <c r="B290" s="3" t="n">
        <v>6</v>
      </c>
      <c r="C290" s="3" t="s">
        <v>12</v>
      </c>
      <c r="D290" s="3" t="n">
        <v>1</v>
      </c>
      <c r="E290" s="3" t="n">
        <v>27</v>
      </c>
      <c r="F290" s="3" t="n">
        <v>0</v>
      </c>
    </row>
    <row r="291" customFormat="false" ht="15" hidden="false" customHeight="true" outlineLevel="0" collapsed="false">
      <c r="A291" s="3" t="s">
        <v>14</v>
      </c>
      <c r="B291" s="3" t="n">
        <v>6</v>
      </c>
      <c r="C291" s="3" t="s">
        <v>12</v>
      </c>
      <c r="D291" s="3" t="n">
        <v>2</v>
      </c>
      <c r="E291" s="3" t="n">
        <v>31</v>
      </c>
      <c r="F291" s="3" t="n">
        <v>0</v>
      </c>
    </row>
    <row r="292" customFormat="false" ht="15" hidden="false" customHeight="true" outlineLevel="0" collapsed="false">
      <c r="A292" s="3" t="s">
        <v>14</v>
      </c>
      <c r="B292" s="3" t="n">
        <v>6</v>
      </c>
      <c r="C292" s="3" t="s">
        <v>12</v>
      </c>
      <c r="D292" s="3" t="n">
        <v>3</v>
      </c>
      <c r="E292" s="3" t="n">
        <v>12</v>
      </c>
      <c r="F292" s="3" t="n">
        <v>0</v>
      </c>
    </row>
    <row r="293" customFormat="false" ht="15" hidden="false" customHeight="true" outlineLevel="0" collapsed="false">
      <c r="A293" s="3" t="s">
        <v>14</v>
      </c>
      <c r="B293" s="3" t="n">
        <v>6</v>
      </c>
      <c r="C293" s="3" t="s">
        <v>12</v>
      </c>
      <c r="D293" s="3" t="n">
        <v>4</v>
      </c>
      <c r="E293" s="3" t="n">
        <v>6</v>
      </c>
      <c r="F293" s="3" t="n">
        <v>0</v>
      </c>
    </row>
    <row r="294" customFormat="false" ht="15" hidden="false" customHeight="true" outlineLevel="0" collapsed="false">
      <c r="A294" s="3" t="s">
        <v>14</v>
      </c>
      <c r="B294" s="3" t="n">
        <v>6</v>
      </c>
      <c r="C294" s="3" t="s">
        <v>12</v>
      </c>
      <c r="D294" s="3" t="n">
        <v>5</v>
      </c>
      <c r="E294" s="3" t="n">
        <v>6</v>
      </c>
      <c r="F294" s="3" t="n">
        <v>0</v>
      </c>
    </row>
    <row r="295" customFormat="false" ht="15" hidden="false" customHeight="true" outlineLevel="0" collapsed="false">
      <c r="A295" s="3" t="s">
        <v>14</v>
      </c>
      <c r="B295" s="3" t="n">
        <v>6</v>
      </c>
      <c r="C295" s="3" t="s">
        <v>12</v>
      </c>
      <c r="D295" s="3" t="n">
        <v>6</v>
      </c>
      <c r="E295" s="3" t="n">
        <v>13</v>
      </c>
      <c r="F295" s="3" t="n">
        <v>0</v>
      </c>
    </row>
    <row r="296" customFormat="false" ht="15" hidden="false" customHeight="true" outlineLevel="0" collapsed="false">
      <c r="A296" s="3" t="s">
        <v>14</v>
      </c>
      <c r="B296" s="3" t="n">
        <v>6</v>
      </c>
      <c r="C296" s="3" t="s">
        <v>12</v>
      </c>
      <c r="D296" s="3" t="n">
        <v>7</v>
      </c>
      <c r="E296" s="3" t="n">
        <v>27</v>
      </c>
      <c r="F296" s="3" t="n">
        <v>1</v>
      </c>
    </row>
    <row r="297" customFormat="false" ht="15" hidden="false" customHeight="true" outlineLevel="0" collapsed="false">
      <c r="A297" s="3" t="s">
        <v>14</v>
      </c>
      <c r="B297" s="3" t="n">
        <v>6</v>
      </c>
      <c r="C297" s="3" t="s">
        <v>12</v>
      </c>
      <c r="D297" s="3" t="n">
        <v>8</v>
      </c>
      <c r="E297" s="3" t="n">
        <v>81</v>
      </c>
      <c r="F297" s="3" t="n">
        <v>1</v>
      </c>
    </row>
    <row r="298" customFormat="false" ht="15" hidden="false" customHeight="true" outlineLevel="0" collapsed="false">
      <c r="A298" s="3" t="s">
        <v>14</v>
      </c>
      <c r="B298" s="3" t="n">
        <v>6</v>
      </c>
      <c r="C298" s="3" t="s">
        <v>12</v>
      </c>
      <c r="D298" s="3" t="n">
        <v>9</v>
      </c>
      <c r="E298" s="3" t="n">
        <v>129</v>
      </c>
      <c r="F298" s="3" t="n">
        <v>0</v>
      </c>
    </row>
    <row r="299" customFormat="false" ht="15" hidden="false" customHeight="true" outlineLevel="0" collapsed="false">
      <c r="A299" s="3" t="s">
        <v>14</v>
      </c>
      <c r="B299" s="3" t="n">
        <v>6</v>
      </c>
      <c r="C299" s="3" t="s">
        <v>12</v>
      </c>
      <c r="D299" s="3" t="n">
        <v>10</v>
      </c>
      <c r="E299" s="3" t="n">
        <v>179</v>
      </c>
      <c r="F299" s="3" t="n">
        <v>0</v>
      </c>
    </row>
    <row r="300" customFormat="false" ht="15" hidden="false" customHeight="true" outlineLevel="0" collapsed="false">
      <c r="A300" s="3" t="s">
        <v>14</v>
      </c>
      <c r="B300" s="3" t="n">
        <v>6</v>
      </c>
      <c r="C300" s="3" t="s">
        <v>12</v>
      </c>
      <c r="D300" s="3" t="n">
        <v>11</v>
      </c>
      <c r="E300" s="3" t="n">
        <v>247</v>
      </c>
      <c r="F300" s="3" t="n">
        <v>5</v>
      </c>
    </row>
    <row r="301" customFormat="false" ht="15" hidden="false" customHeight="true" outlineLevel="0" collapsed="false">
      <c r="A301" s="3" t="s">
        <v>14</v>
      </c>
      <c r="B301" s="3" t="n">
        <v>6</v>
      </c>
      <c r="C301" s="3" t="s">
        <v>12</v>
      </c>
      <c r="D301" s="3" t="n">
        <v>12</v>
      </c>
      <c r="E301" s="3" t="n">
        <v>252</v>
      </c>
      <c r="F301" s="3" t="n">
        <v>4</v>
      </c>
    </row>
    <row r="302" customFormat="false" ht="15" hidden="false" customHeight="true" outlineLevel="0" collapsed="false">
      <c r="A302" s="3" t="s">
        <v>14</v>
      </c>
      <c r="B302" s="3" t="n">
        <v>6</v>
      </c>
      <c r="C302" s="3" t="s">
        <v>12</v>
      </c>
      <c r="D302" s="3" t="n">
        <v>13</v>
      </c>
      <c r="E302" s="3" t="n">
        <v>238</v>
      </c>
      <c r="F302" s="3" t="n">
        <v>8</v>
      </c>
    </row>
    <row r="303" customFormat="false" ht="15" hidden="false" customHeight="true" outlineLevel="0" collapsed="false">
      <c r="A303" s="3" t="s">
        <v>14</v>
      </c>
      <c r="B303" s="3" t="n">
        <v>6</v>
      </c>
      <c r="C303" s="3" t="s">
        <v>12</v>
      </c>
      <c r="D303" s="3" t="n">
        <v>14</v>
      </c>
      <c r="E303" s="3" t="n">
        <v>209</v>
      </c>
      <c r="F303" s="3" t="n">
        <v>1</v>
      </c>
    </row>
    <row r="304" customFormat="false" ht="15" hidden="false" customHeight="true" outlineLevel="0" collapsed="false">
      <c r="A304" s="3" t="s">
        <v>14</v>
      </c>
      <c r="B304" s="3" t="n">
        <v>6</v>
      </c>
      <c r="C304" s="3" t="s">
        <v>12</v>
      </c>
      <c r="D304" s="3" t="n">
        <v>15</v>
      </c>
      <c r="E304" s="3" t="n">
        <v>222</v>
      </c>
      <c r="F304" s="3" t="n">
        <v>4</v>
      </c>
    </row>
    <row r="305" customFormat="false" ht="15" hidden="false" customHeight="true" outlineLevel="0" collapsed="false">
      <c r="A305" s="3" t="s">
        <v>14</v>
      </c>
      <c r="B305" s="3" t="n">
        <v>6</v>
      </c>
      <c r="C305" s="3" t="s">
        <v>12</v>
      </c>
      <c r="D305" s="3" t="n">
        <v>16</v>
      </c>
      <c r="E305" s="3" t="n">
        <v>223</v>
      </c>
      <c r="F305" s="3" t="n">
        <v>4</v>
      </c>
    </row>
    <row r="306" customFormat="false" ht="15" hidden="false" customHeight="true" outlineLevel="0" collapsed="false">
      <c r="A306" s="3" t="s">
        <v>14</v>
      </c>
      <c r="B306" s="3" t="n">
        <v>6</v>
      </c>
      <c r="C306" s="3" t="s">
        <v>12</v>
      </c>
      <c r="D306" s="3" t="n">
        <v>17</v>
      </c>
      <c r="E306" s="3" t="n">
        <v>166</v>
      </c>
      <c r="F306" s="3" t="n">
        <v>3</v>
      </c>
    </row>
    <row r="307" customFormat="false" ht="15" hidden="false" customHeight="true" outlineLevel="0" collapsed="false">
      <c r="A307" s="3" t="s">
        <v>14</v>
      </c>
      <c r="B307" s="3" t="n">
        <v>6</v>
      </c>
      <c r="C307" s="3" t="s">
        <v>12</v>
      </c>
      <c r="D307" s="3" t="n">
        <v>18</v>
      </c>
      <c r="E307" s="3" t="n">
        <v>143</v>
      </c>
      <c r="F307" s="3" t="n">
        <v>2</v>
      </c>
    </row>
    <row r="308" customFormat="false" ht="15" hidden="false" customHeight="true" outlineLevel="0" collapsed="false">
      <c r="A308" s="3" t="s">
        <v>14</v>
      </c>
      <c r="B308" s="3" t="n">
        <v>6</v>
      </c>
      <c r="C308" s="3" t="s">
        <v>12</v>
      </c>
      <c r="D308" s="3" t="n">
        <v>19</v>
      </c>
      <c r="E308" s="3" t="n">
        <v>160</v>
      </c>
      <c r="F308" s="3" t="n">
        <v>2</v>
      </c>
    </row>
    <row r="309" customFormat="false" ht="15" hidden="false" customHeight="true" outlineLevel="0" collapsed="false">
      <c r="A309" s="3" t="s">
        <v>14</v>
      </c>
      <c r="B309" s="3" t="n">
        <v>6</v>
      </c>
      <c r="C309" s="3" t="s">
        <v>12</v>
      </c>
      <c r="D309" s="3" t="n">
        <v>20</v>
      </c>
      <c r="E309" s="3" t="n">
        <v>155</v>
      </c>
      <c r="F309" s="3" t="n">
        <v>1</v>
      </c>
    </row>
    <row r="310" customFormat="false" ht="15" hidden="false" customHeight="true" outlineLevel="0" collapsed="false">
      <c r="A310" s="3" t="s">
        <v>14</v>
      </c>
      <c r="B310" s="3" t="n">
        <v>6</v>
      </c>
      <c r="C310" s="3" t="s">
        <v>12</v>
      </c>
      <c r="D310" s="3" t="n">
        <v>21</v>
      </c>
      <c r="E310" s="3" t="n">
        <v>117</v>
      </c>
      <c r="F310" s="3" t="n">
        <v>3</v>
      </c>
    </row>
    <row r="311" customFormat="false" ht="15" hidden="false" customHeight="true" outlineLevel="0" collapsed="false">
      <c r="A311" s="3" t="s">
        <v>14</v>
      </c>
      <c r="B311" s="3" t="n">
        <v>6</v>
      </c>
      <c r="C311" s="3" t="s">
        <v>12</v>
      </c>
      <c r="D311" s="3" t="n">
        <v>22</v>
      </c>
      <c r="E311" s="3" t="n">
        <v>93</v>
      </c>
      <c r="F311" s="3" t="n">
        <v>0</v>
      </c>
    </row>
    <row r="312" customFormat="false" ht="15" hidden="false" customHeight="true" outlineLevel="0" collapsed="false">
      <c r="A312" s="3" t="s">
        <v>14</v>
      </c>
      <c r="B312" s="3" t="n">
        <v>6</v>
      </c>
      <c r="C312" s="3" t="s">
        <v>12</v>
      </c>
      <c r="D312" s="3" t="n">
        <v>23</v>
      </c>
      <c r="E312" s="3" t="n">
        <v>94</v>
      </c>
      <c r="F312" s="3" t="n">
        <v>1</v>
      </c>
    </row>
    <row r="313" customFormat="false" ht="15" hidden="false" customHeight="true" outlineLevel="0" collapsed="false">
      <c r="A313" s="3" t="s">
        <v>14</v>
      </c>
      <c r="B313" s="3" t="n">
        <v>7</v>
      </c>
      <c r="C313" s="3" t="s">
        <v>13</v>
      </c>
      <c r="D313" s="3" t="n">
        <v>0</v>
      </c>
      <c r="E313" s="3" t="n">
        <v>45</v>
      </c>
      <c r="F313" s="3" t="n">
        <v>0</v>
      </c>
    </row>
    <row r="314" customFormat="false" ht="15" hidden="false" customHeight="true" outlineLevel="0" collapsed="false">
      <c r="A314" s="3" t="s">
        <v>14</v>
      </c>
      <c r="B314" s="3" t="n">
        <v>7</v>
      </c>
      <c r="C314" s="3" t="s">
        <v>13</v>
      </c>
      <c r="D314" s="3" t="n">
        <v>1</v>
      </c>
      <c r="E314" s="3" t="n">
        <v>30</v>
      </c>
      <c r="F314" s="3" t="n">
        <v>0</v>
      </c>
    </row>
    <row r="315" customFormat="false" ht="15" hidden="false" customHeight="true" outlineLevel="0" collapsed="false">
      <c r="A315" s="3" t="s">
        <v>14</v>
      </c>
      <c r="B315" s="3" t="n">
        <v>7</v>
      </c>
      <c r="C315" s="3" t="s">
        <v>13</v>
      </c>
      <c r="D315" s="3" t="n">
        <v>2</v>
      </c>
      <c r="E315" s="3" t="n">
        <v>22</v>
      </c>
      <c r="F315" s="3" t="n">
        <v>0</v>
      </c>
    </row>
    <row r="316" customFormat="false" ht="15" hidden="false" customHeight="true" outlineLevel="0" collapsed="false">
      <c r="A316" s="3" t="s">
        <v>14</v>
      </c>
      <c r="B316" s="3" t="n">
        <v>7</v>
      </c>
      <c r="C316" s="3" t="s">
        <v>13</v>
      </c>
      <c r="D316" s="3" t="n">
        <v>3</v>
      </c>
      <c r="E316" s="3" t="n">
        <v>13</v>
      </c>
      <c r="F316" s="3" t="n">
        <v>0</v>
      </c>
    </row>
    <row r="317" customFormat="false" ht="15" hidden="false" customHeight="true" outlineLevel="0" collapsed="false">
      <c r="A317" s="3" t="s">
        <v>14</v>
      </c>
      <c r="B317" s="3" t="n">
        <v>7</v>
      </c>
      <c r="C317" s="3" t="s">
        <v>13</v>
      </c>
      <c r="D317" s="3" t="n">
        <v>4</v>
      </c>
      <c r="E317" s="3" t="n">
        <v>2</v>
      </c>
      <c r="F317" s="3" t="n">
        <v>0</v>
      </c>
    </row>
    <row r="318" customFormat="false" ht="15" hidden="false" customHeight="true" outlineLevel="0" collapsed="false">
      <c r="A318" s="3" t="s">
        <v>14</v>
      </c>
      <c r="B318" s="3" t="n">
        <v>7</v>
      </c>
      <c r="C318" s="3" t="s">
        <v>13</v>
      </c>
      <c r="D318" s="3" t="n">
        <v>5</v>
      </c>
      <c r="E318" s="3" t="n">
        <v>1</v>
      </c>
      <c r="F318" s="3" t="n">
        <v>0</v>
      </c>
    </row>
    <row r="319" customFormat="false" ht="15" hidden="false" customHeight="true" outlineLevel="0" collapsed="false">
      <c r="A319" s="3" t="s">
        <v>14</v>
      </c>
      <c r="B319" s="3" t="n">
        <v>7</v>
      </c>
      <c r="C319" s="3" t="s">
        <v>13</v>
      </c>
      <c r="D319" s="3" t="n">
        <v>6</v>
      </c>
      <c r="E319" s="3" t="n">
        <v>11</v>
      </c>
      <c r="F319" s="3" t="n">
        <v>0</v>
      </c>
    </row>
    <row r="320" customFormat="false" ht="15" hidden="false" customHeight="true" outlineLevel="0" collapsed="false">
      <c r="A320" s="3" t="s">
        <v>14</v>
      </c>
      <c r="B320" s="3" t="n">
        <v>7</v>
      </c>
      <c r="C320" s="3" t="s">
        <v>13</v>
      </c>
      <c r="D320" s="3" t="n">
        <v>7</v>
      </c>
      <c r="E320" s="3" t="n">
        <v>31</v>
      </c>
      <c r="F320" s="3" t="n">
        <v>0</v>
      </c>
    </row>
    <row r="321" customFormat="false" ht="15" hidden="false" customHeight="true" outlineLevel="0" collapsed="false">
      <c r="A321" s="3" t="s">
        <v>14</v>
      </c>
      <c r="B321" s="3" t="n">
        <v>7</v>
      </c>
      <c r="C321" s="3" t="s">
        <v>13</v>
      </c>
      <c r="D321" s="3" t="n">
        <v>8</v>
      </c>
      <c r="E321" s="3" t="n">
        <v>67</v>
      </c>
      <c r="F321" s="3" t="n">
        <v>1</v>
      </c>
    </row>
    <row r="322" customFormat="false" ht="15" hidden="false" customHeight="true" outlineLevel="0" collapsed="false">
      <c r="A322" s="3" t="s">
        <v>14</v>
      </c>
      <c r="B322" s="3" t="n">
        <v>7</v>
      </c>
      <c r="C322" s="3" t="s">
        <v>13</v>
      </c>
      <c r="D322" s="3" t="n">
        <v>9</v>
      </c>
      <c r="E322" s="3" t="n">
        <v>135</v>
      </c>
      <c r="F322" s="3" t="n">
        <v>1</v>
      </c>
    </row>
    <row r="323" customFormat="false" ht="15" hidden="false" customHeight="true" outlineLevel="0" collapsed="false">
      <c r="A323" s="3" t="s">
        <v>14</v>
      </c>
      <c r="B323" s="3" t="n">
        <v>7</v>
      </c>
      <c r="C323" s="3" t="s">
        <v>13</v>
      </c>
      <c r="D323" s="3" t="n">
        <v>10</v>
      </c>
      <c r="E323" s="3" t="n">
        <v>222</v>
      </c>
      <c r="F323" s="3" t="n">
        <v>3</v>
      </c>
    </row>
    <row r="324" customFormat="false" ht="15" hidden="false" customHeight="true" outlineLevel="0" collapsed="false">
      <c r="A324" s="3" t="s">
        <v>14</v>
      </c>
      <c r="B324" s="3" t="n">
        <v>7</v>
      </c>
      <c r="C324" s="3" t="s">
        <v>13</v>
      </c>
      <c r="D324" s="3" t="n">
        <v>11</v>
      </c>
      <c r="E324" s="3" t="n">
        <v>253</v>
      </c>
      <c r="F324" s="3" t="n">
        <v>2</v>
      </c>
    </row>
    <row r="325" customFormat="false" ht="15" hidden="false" customHeight="true" outlineLevel="0" collapsed="false">
      <c r="A325" s="3" t="s">
        <v>14</v>
      </c>
      <c r="B325" s="3" t="n">
        <v>7</v>
      </c>
      <c r="C325" s="3" t="s">
        <v>13</v>
      </c>
      <c r="D325" s="3" t="n">
        <v>12</v>
      </c>
      <c r="E325" s="3" t="n">
        <v>223</v>
      </c>
      <c r="F325" s="3" t="n">
        <v>3</v>
      </c>
    </row>
    <row r="326" customFormat="false" ht="15" hidden="false" customHeight="true" outlineLevel="0" collapsed="false">
      <c r="A326" s="3" t="s">
        <v>14</v>
      </c>
      <c r="B326" s="3" t="n">
        <v>7</v>
      </c>
      <c r="C326" s="3" t="s">
        <v>13</v>
      </c>
      <c r="D326" s="3" t="n">
        <v>13</v>
      </c>
      <c r="E326" s="3" t="n">
        <v>270</v>
      </c>
      <c r="F326" s="3" t="n">
        <v>7</v>
      </c>
    </row>
    <row r="327" customFormat="false" ht="15" hidden="false" customHeight="true" outlineLevel="0" collapsed="false">
      <c r="A327" s="3" t="s">
        <v>14</v>
      </c>
      <c r="B327" s="3" t="n">
        <v>7</v>
      </c>
      <c r="C327" s="3" t="s">
        <v>13</v>
      </c>
      <c r="D327" s="3" t="n">
        <v>14</v>
      </c>
      <c r="E327" s="3" t="n">
        <v>253</v>
      </c>
      <c r="F327" s="3" t="n">
        <v>3</v>
      </c>
    </row>
    <row r="328" customFormat="false" ht="15" hidden="false" customHeight="true" outlineLevel="0" collapsed="false">
      <c r="A328" s="3" t="s">
        <v>14</v>
      </c>
      <c r="B328" s="3" t="n">
        <v>7</v>
      </c>
      <c r="C328" s="3" t="s">
        <v>13</v>
      </c>
      <c r="D328" s="3" t="n">
        <v>15</v>
      </c>
      <c r="E328" s="3" t="n">
        <v>219</v>
      </c>
      <c r="F328" s="3" t="n">
        <v>8</v>
      </c>
    </row>
    <row r="329" customFormat="false" ht="15" hidden="false" customHeight="true" outlineLevel="0" collapsed="false">
      <c r="A329" s="3" t="s">
        <v>14</v>
      </c>
      <c r="B329" s="3" t="n">
        <v>7</v>
      </c>
      <c r="C329" s="3" t="s">
        <v>13</v>
      </c>
      <c r="D329" s="3" t="n">
        <v>16</v>
      </c>
      <c r="E329" s="3" t="n">
        <v>199</v>
      </c>
      <c r="F329" s="3" t="n">
        <v>7</v>
      </c>
    </row>
    <row r="330" customFormat="false" ht="15" hidden="false" customHeight="true" outlineLevel="0" collapsed="false">
      <c r="A330" s="3" t="s">
        <v>14</v>
      </c>
      <c r="B330" s="3" t="n">
        <v>7</v>
      </c>
      <c r="C330" s="3" t="s">
        <v>13</v>
      </c>
      <c r="D330" s="3" t="n">
        <v>17</v>
      </c>
      <c r="E330" s="3" t="n">
        <v>199</v>
      </c>
      <c r="F330" s="3" t="n">
        <v>6</v>
      </c>
    </row>
    <row r="331" customFormat="false" ht="15" hidden="false" customHeight="true" outlineLevel="0" collapsed="false">
      <c r="A331" s="3" t="s">
        <v>14</v>
      </c>
      <c r="B331" s="3" t="n">
        <v>7</v>
      </c>
      <c r="C331" s="3" t="s">
        <v>13</v>
      </c>
      <c r="D331" s="3" t="n">
        <v>18</v>
      </c>
      <c r="E331" s="3" t="n">
        <v>172</v>
      </c>
      <c r="F331" s="3" t="n">
        <v>5</v>
      </c>
    </row>
    <row r="332" customFormat="false" ht="15" hidden="false" customHeight="true" outlineLevel="0" collapsed="false">
      <c r="A332" s="3" t="s">
        <v>14</v>
      </c>
      <c r="B332" s="3" t="n">
        <v>7</v>
      </c>
      <c r="C332" s="3" t="s">
        <v>13</v>
      </c>
      <c r="D332" s="3" t="n">
        <v>19</v>
      </c>
      <c r="E332" s="3" t="n">
        <v>174</v>
      </c>
      <c r="F332" s="3" t="n">
        <v>6</v>
      </c>
    </row>
    <row r="333" customFormat="false" ht="15" hidden="false" customHeight="true" outlineLevel="0" collapsed="false">
      <c r="A333" s="3" t="s">
        <v>14</v>
      </c>
      <c r="B333" s="3" t="n">
        <v>7</v>
      </c>
      <c r="C333" s="3" t="s">
        <v>13</v>
      </c>
      <c r="D333" s="3" t="n">
        <v>20</v>
      </c>
      <c r="E333" s="3" t="n">
        <v>159</v>
      </c>
      <c r="F333" s="3" t="n">
        <v>5</v>
      </c>
    </row>
    <row r="334" customFormat="false" ht="15" hidden="false" customHeight="true" outlineLevel="0" collapsed="false">
      <c r="A334" s="3" t="s">
        <v>14</v>
      </c>
      <c r="B334" s="3" t="n">
        <v>7</v>
      </c>
      <c r="C334" s="3" t="s">
        <v>13</v>
      </c>
      <c r="D334" s="3" t="n">
        <v>21</v>
      </c>
      <c r="E334" s="3" t="n">
        <v>136</v>
      </c>
      <c r="F334" s="3" t="n">
        <v>3</v>
      </c>
    </row>
    <row r="335" customFormat="false" ht="15" hidden="false" customHeight="true" outlineLevel="0" collapsed="false">
      <c r="A335" s="3" t="s">
        <v>14</v>
      </c>
      <c r="B335" s="3" t="n">
        <v>7</v>
      </c>
      <c r="C335" s="3" t="s">
        <v>13</v>
      </c>
      <c r="D335" s="3" t="n">
        <v>22</v>
      </c>
      <c r="E335" s="3" t="n">
        <v>124</v>
      </c>
      <c r="F335" s="3" t="n">
        <v>3</v>
      </c>
    </row>
    <row r="336" customFormat="false" ht="15" hidden="false" customHeight="true" outlineLevel="0" collapsed="false">
      <c r="A336" s="3" t="s">
        <v>14</v>
      </c>
      <c r="B336" s="3" t="n">
        <v>7</v>
      </c>
      <c r="C336" s="3" t="s">
        <v>13</v>
      </c>
      <c r="D336" s="3" t="n">
        <v>23</v>
      </c>
      <c r="E336" s="3" t="n">
        <v>99</v>
      </c>
      <c r="F336" s="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4" min="2" style="1" width="14"/>
  </cols>
  <sheetData>
    <row r="1" customFormat="false" ht="15" hidden="false" customHeight="true" outlineLevel="0" collapsed="false">
      <c r="A1" s="2" t="s">
        <v>15</v>
      </c>
      <c r="B1" s="2" t="s">
        <v>4</v>
      </c>
      <c r="C1" s="2" t="s">
        <v>5</v>
      </c>
      <c r="D1" s="2" t="s">
        <v>16</v>
      </c>
    </row>
    <row r="2" customFormat="false" ht="15" hidden="false" customHeight="true" outlineLevel="0" collapsed="false">
      <c r="A2" s="3" t="s">
        <v>6</v>
      </c>
      <c r="B2" s="4" t="n">
        <f aca="false">SUMIFS(Data!$E$2:$E$336,Data!$A$2:$A$336,A2)</f>
        <v>564577</v>
      </c>
      <c r="C2" s="4" t="n">
        <f aca="false">SUMIFS(Data!$F$2:$F$336,Data!$A$2:$A$336,A2)</f>
        <v>14423</v>
      </c>
      <c r="D2" s="5" t="n">
        <f aca="false">C2/B2</f>
        <v>0.0255465596366837</v>
      </c>
    </row>
    <row r="3" customFormat="false" ht="15" hidden="false" customHeight="true" outlineLevel="0" collapsed="false">
      <c r="A3" s="3" t="s">
        <v>14</v>
      </c>
      <c r="B3" s="4" t="n">
        <f aca="false">SUMIFS(Data!$E$2:$E$336,Data!$A$2:$A$336,A3)</f>
        <v>23524</v>
      </c>
      <c r="C3" s="4" t="n">
        <f aca="false">SUMIFS(Data!$F$2:$F$336,Data!$A$2:$A$336,A3)</f>
        <v>420</v>
      </c>
      <c r="D3" s="5" t="n">
        <f aca="false">C3/B3</f>
        <v>0.0178541064444822</v>
      </c>
    </row>
    <row r="5" customFormat="false" ht="15" hidden="false" customHeight="true" outlineLevel="0" collapsed="false">
      <c r="A5" s="3" t="s">
        <v>17</v>
      </c>
      <c r="B5" s="6" t="n">
        <f aca="false">B2/(B2+B3)</f>
        <v>0.960000068015528</v>
      </c>
    </row>
    <row r="7" customFormat="false" ht="15" hidden="false" customHeight="true" outlineLevel="0" collapsed="false">
      <c r="A7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5" hidden="false" customHeight="true" outlineLevel="0" collapsed="false">
      <c r="A1" s="2" t="s">
        <v>19</v>
      </c>
      <c r="B1" s="2" t="s">
        <v>20</v>
      </c>
      <c r="C1" s="2" t="s">
        <v>21</v>
      </c>
      <c r="D1" s="2" t="s">
        <v>22</v>
      </c>
    </row>
    <row r="2" customFormat="false" ht="15" hidden="false" customHeight="true" outlineLevel="0" collapsed="false">
      <c r="A2" s="3" t="s">
        <v>23</v>
      </c>
      <c r="B2" s="5" t="n">
        <f aca="false">Summary!D2</f>
        <v>0.0255465596366837</v>
      </c>
      <c r="C2" s="7" t="n">
        <v>0.0255465596366837</v>
      </c>
      <c r="D2" s="3" t="str">
        <f aca="false">IF(ABS(B2-C2)&lt;=0.000000001,"OK","DIFFERS")</f>
        <v>OK</v>
      </c>
    </row>
    <row r="3" customFormat="false" ht="15" hidden="false" customHeight="true" outlineLevel="0" collapsed="false">
      <c r="A3" s="3" t="s">
        <v>24</v>
      </c>
      <c r="B3" s="5" t="n">
        <f aca="false">Summary!D3</f>
        <v>0.0178541064444822</v>
      </c>
      <c r="C3" s="7" t="n">
        <v>0.0178541064444822</v>
      </c>
      <c r="D3" s="3" t="str">
        <f aca="false">IF(ABS(B3-C3)&lt;=0.000000001,"OK","DIFFERS")</f>
        <v>OK</v>
      </c>
    </row>
    <row r="4" customFormat="false" ht="15" hidden="false" customHeight="true" outlineLevel="0" collapsed="false">
      <c r="A4" s="3" t="s">
        <v>25</v>
      </c>
      <c r="B4" s="5" t="n">
        <f aca="false">B2-B3</f>
        <v>0.00769245319220152</v>
      </c>
      <c r="C4" s="7" t="n">
        <v>0.0076924531922015</v>
      </c>
      <c r="D4" s="3" t="str">
        <f aca="false">IF(ABS(B4-C4)&lt;=0.000000001,"OK","DIFFERS")</f>
        <v>OK</v>
      </c>
    </row>
    <row r="5" customFormat="false" ht="15" hidden="false" customHeight="true" outlineLevel="0" collapsed="false">
      <c r="A5" s="3" t="s">
        <v>26</v>
      </c>
      <c r="B5" s="5" t="n">
        <f aca="false">(Summary!C2+Summary!C3)/(Summary!B2+Summary!B3)</f>
        <v>0.025238862032202</v>
      </c>
    </row>
    <row r="6" customFormat="false" ht="15" hidden="false" customHeight="true" outlineLevel="0" collapsed="false">
      <c r="A6" s="3" t="s">
        <v>27</v>
      </c>
      <c r="B6" s="8" t="n">
        <f aca="false">SQRT(B5*(1-B5)*(1/Summary!B2+1/Summary!B3))</f>
        <v>0.00104374106490065</v>
      </c>
      <c r="C6" s="9" t="n">
        <v>0.0010437410649006</v>
      </c>
      <c r="D6" s="3" t="str">
        <f aca="false">IF(ABS(B6-C6)&lt;=0.000000001,"OK","DIFFERS")</f>
        <v>OK</v>
      </c>
    </row>
    <row r="7" customFormat="false" ht="15" hidden="false" customHeight="true" outlineLevel="0" collapsed="false">
      <c r="A7" s="3" t="s">
        <v>28</v>
      </c>
      <c r="B7" s="10" t="n">
        <f aca="false">B4/B6</f>
        <v>7.37007812654541</v>
      </c>
      <c r="C7" s="11" t="n">
        <v>7.37007812654541</v>
      </c>
      <c r="D7" s="3" t="str">
        <f aca="false">IF(ABS(B7-C7)&lt;=0.000000001,"OK","DIFFERS")</f>
        <v>OK</v>
      </c>
    </row>
    <row r="8" customFormat="false" ht="15" hidden="false" customHeight="true" outlineLevel="0" collapsed="false">
      <c r="A8" s="3" t="s">
        <v>29</v>
      </c>
      <c r="B8" s="12" t="n">
        <f aca="false">2*NORMSDIST(-ABS(B7))</f>
        <v>1.70528071615597E-013</v>
      </c>
      <c r="C8" s="13" t="n">
        <v>1.70528071615599E-013</v>
      </c>
      <c r="D8" s="3" t="str">
        <f aca="false">IF(ABS(B8-C8)/C8&lt;=0.0001,"OK","DIFFERS")</f>
        <v>OK</v>
      </c>
    </row>
    <row r="9" customFormat="false" ht="15" hidden="false" customHeight="true" outlineLevel="0" collapsed="false">
      <c r="A9" s="3" t="s">
        <v>30</v>
      </c>
      <c r="B9" s="8" t="n">
        <f aca="false">SQRT(B2*(1-B2)/Summary!B2+B3*(1-B3)/Summary!B3)</f>
        <v>0.000888547327566938</v>
      </c>
      <c r="C9" s="9" t="n">
        <v>0.0008885473275669</v>
      </c>
      <c r="D9" s="3" t="str">
        <f aca="false">IF(ABS(B9-C9)&lt;=0.000000001,"OK","DIFFERS")</f>
        <v>OK</v>
      </c>
    </row>
    <row r="10" customFormat="false" ht="15" hidden="false" customHeight="true" outlineLevel="0" collapsed="false">
      <c r="A10" s="3" t="s">
        <v>31</v>
      </c>
      <c r="B10" s="5" t="n">
        <f aca="false">B4-NORMSINV(0.975)*B9</f>
        <v>0.00595093243161101</v>
      </c>
      <c r="C10" s="7" t="n">
        <v>0.005950932431611</v>
      </c>
      <c r="D10" s="3" t="str">
        <f aca="false">IF(ABS(B10-C10)&lt;=0.000000001,"OK","DIFFERS")</f>
        <v>OK</v>
      </c>
    </row>
    <row r="11" customFormat="false" ht="15" hidden="false" customHeight="true" outlineLevel="0" collapsed="false">
      <c r="A11" s="3" t="s">
        <v>32</v>
      </c>
      <c r="B11" s="5" t="n">
        <f aca="false">B4+NORMSINV(0.975)*B9</f>
        <v>0.00943397395279203</v>
      </c>
      <c r="C11" s="7" t="n">
        <v>0.009433973952792</v>
      </c>
      <c r="D11" s="3" t="str">
        <f aca="false">IF(ABS(B11-C11)&lt;=0.000000001,"OK","DIFFERS")</f>
        <v>OK</v>
      </c>
    </row>
    <row r="12" customFormat="false" ht="15" hidden="false" customHeight="true" outlineLevel="0" collapsed="false">
      <c r="A12" s="3" t="s">
        <v>33</v>
      </c>
      <c r="B12" s="6" t="n">
        <f aca="false">B2/B3-1</f>
        <v>0.430850640222258</v>
      </c>
      <c r="C12" s="14" t="n">
        <v>0.430850640222258</v>
      </c>
      <c r="D12" s="3" t="str">
        <f aca="false">IF(ABS(B12-C12)&lt;=0.000000001,"OK","DIFFERS")</f>
        <v>OK</v>
      </c>
    </row>
    <row r="14" customFormat="false" ht="15" hidden="false" customHeight="true" outlineLevel="0" collapsed="false">
      <c r="A14" s="3" t="s">
        <v>34</v>
      </c>
    </row>
    <row r="15" customFormat="false" ht="15" hidden="false" customHeight="true" outlineLevel="0" collapsed="false">
      <c r="A15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6" min="3" style="1" width="10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10"/>
  </cols>
  <sheetData>
    <row r="1" customFormat="false" ht="15" hidden="false" customHeight="true" outlineLevel="0" collapsed="false">
      <c r="A1" s="2" t="s">
        <v>1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22</v>
      </c>
    </row>
    <row r="2" customFormat="false" ht="15" hidden="false" customHeight="true" outlineLevel="0" collapsed="false">
      <c r="A2" s="3" t="n">
        <v>1</v>
      </c>
      <c r="B2" s="3" t="s">
        <v>7</v>
      </c>
      <c r="C2" s="4" t="n">
        <f aca="false">SUMIFS(Data!$E$2:$E$336,Data!$A$2:$A$336,"ad",Data!$B$2:$B$336,$A2)</f>
        <v>83571</v>
      </c>
      <c r="D2" s="4" t="n">
        <f aca="false">SUMIFS(Data!$F$2:$F$336,Data!$A$2:$A$336,"ad",Data!$B$2:$B$336,$A2)</f>
        <v>2778</v>
      </c>
      <c r="E2" s="4" t="n">
        <f aca="false">SUMIFS(Data!$E$2:$E$336,Data!$A$2:$A$336,"psa",Data!$B$2:$B$336,$A2)</f>
        <v>3502</v>
      </c>
      <c r="F2" s="4" t="n">
        <f aca="false">SUMIFS(Data!$F$2:$F$336,Data!$A$2:$A$336,"psa",Data!$B$2:$B$336,$A2)</f>
        <v>79</v>
      </c>
      <c r="G2" s="15" t="n">
        <f aca="false">D2/C2</f>
        <v>0.033241196108698</v>
      </c>
      <c r="H2" s="15" t="n">
        <f aca="false">F2/E2</f>
        <v>0.0225585379782981</v>
      </c>
      <c r="I2" s="10" t="n">
        <f aca="false">(G2-H2)*100</f>
        <v>1.06826581303999</v>
      </c>
      <c r="J2" s="11" t="n">
        <v>1.0683</v>
      </c>
      <c r="K2" s="3" t="str">
        <f aca="false">IF(ABS(I2-J2)&lt;=0.00006,"OK","DIFFERS")</f>
        <v>OK</v>
      </c>
    </row>
    <row r="3" customFormat="false" ht="15" hidden="false" customHeight="true" outlineLevel="0" collapsed="false">
      <c r="A3" s="3" t="n">
        <v>2</v>
      </c>
      <c r="B3" s="3" t="s">
        <v>8</v>
      </c>
      <c r="C3" s="4" t="n">
        <f aca="false">SUMIFS(Data!$E$2:$E$336,Data!$A$2:$A$336,"ad",Data!$B$2:$B$336,$A3)</f>
        <v>74572</v>
      </c>
      <c r="D3" s="4" t="n">
        <f aca="false">SUMIFS(Data!$F$2:$F$336,Data!$A$2:$A$336,"ad",Data!$B$2:$B$336,$A3)</f>
        <v>2270</v>
      </c>
      <c r="E3" s="4" t="n">
        <f aca="false">SUMIFS(Data!$E$2:$E$336,Data!$A$2:$A$336,"psa",Data!$B$2:$B$336,$A3)</f>
        <v>2907</v>
      </c>
      <c r="F3" s="4" t="n">
        <f aca="false">SUMIFS(Data!$F$2:$F$336,Data!$A$2:$A$336,"psa",Data!$B$2:$B$336,$A3)</f>
        <v>42</v>
      </c>
      <c r="G3" s="15" t="n">
        <f aca="false">D3/C3</f>
        <v>0.0304403797672049</v>
      </c>
      <c r="H3" s="15" t="n">
        <f aca="false">F3/E3</f>
        <v>0.0144478844169247</v>
      </c>
      <c r="I3" s="10" t="n">
        <f aca="false">(G3-H3)*100</f>
        <v>1.59924953502802</v>
      </c>
      <c r="J3" s="11" t="n">
        <v>1.5992</v>
      </c>
      <c r="K3" s="3" t="str">
        <f aca="false">IF(ABS(I3-J3)&lt;=0.00006,"OK","DIFFERS")</f>
        <v>OK</v>
      </c>
    </row>
    <row r="4" customFormat="false" ht="15" hidden="false" customHeight="true" outlineLevel="0" collapsed="false">
      <c r="A4" s="3" t="n">
        <v>3</v>
      </c>
      <c r="B4" s="3" t="s">
        <v>9</v>
      </c>
      <c r="C4" s="4" t="n">
        <f aca="false">SUMIFS(Data!$E$2:$E$336,Data!$A$2:$A$336,"ad",Data!$B$2:$B$336,$A4)</f>
        <v>77418</v>
      </c>
      <c r="D4" s="4" t="n">
        <f aca="false">SUMIFS(Data!$F$2:$F$336,Data!$A$2:$A$336,"ad",Data!$B$2:$B$336,$A4)</f>
        <v>1963</v>
      </c>
      <c r="E4" s="4" t="n">
        <f aca="false">SUMIFS(Data!$E$2:$E$336,Data!$A$2:$A$336,"psa",Data!$B$2:$B$336,$A4)</f>
        <v>3490</v>
      </c>
      <c r="F4" s="4" t="n">
        <f aca="false">SUMIFS(Data!$F$2:$F$336,Data!$A$2:$A$336,"psa",Data!$B$2:$B$336,$A4)</f>
        <v>55</v>
      </c>
      <c r="G4" s="15" t="n">
        <f aca="false">D4/C4</f>
        <v>0.0253558603942236</v>
      </c>
      <c r="H4" s="15" t="n">
        <f aca="false">F4/E4</f>
        <v>0.0157593123209169</v>
      </c>
      <c r="I4" s="10" t="n">
        <f aca="false">(G4-H4)*100</f>
        <v>0.959654807330666</v>
      </c>
      <c r="J4" s="11" t="n">
        <v>0.9597</v>
      </c>
      <c r="K4" s="3" t="str">
        <f aca="false">IF(ABS(I4-J4)&lt;=0.00006,"OK","DIFFERS")</f>
        <v>OK</v>
      </c>
    </row>
    <row r="5" customFormat="false" ht="15" hidden="false" customHeight="true" outlineLevel="0" collapsed="false">
      <c r="A5" s="3" t="n">
        <v>4</v>
      </c>
      <c r="B5" s="3" t="s">
        <v>10</v>
      </c>
      <c r="C5" s="4" t="n">
        <f aca="false">SUMIFS(Data!$E$2:$E$336,Data!$A$2:$A$336,"ad",Data!$B$2:$B$336,$A5)</f>
        <v>79077</v>
      </c>
      <c r="D5" s="4" t="n">
        <f aca="false">SUMIFS(Data!$F$2:$F$336,Data!$A$2:$A$336,"ad",Data!$B$2:$B$336,$A5)</f>
        <v>1711</v>
      </c>
      <c r="E5" s="4" t="n">
        <f aca="false">SUMIFS(Data!$E$2:$E$336,Data!$A$2:$A$336,"psa",Data!$B$2:$B$336,$A5)</f>
        <v>3905</v>
      </c>
      <c r="F5" s="4" t="n">
        <f aca="false">SUMIFS(Data!$F$2:$F$336,Data!$A$2:$A$336,"psa",Data!$B$2:$B$336,$A5)</f>
        <v>79</v>
      </c>
      <c r="G5" s="15" t="n">
        <f aca="false">D5/C5</f>
        <v>0.0216371384852738</v>
      </c>
      <c r="H5" s="15" t="n">
        <f aca="false">F5/E5</f>
        <v>0.0202304737516005</v>
      </c>
      <c r="I5" s="10" t="n">
        <f aca="false">(G5-H5)*100</f>
        <v>0.140666473367333</v>
      </c>
      <c r="J5" s="11" t="n">
        <v>0.1407</v>
      </c>
      <c r="K5" s="3" t="str">
        <f aca="false">IF(ABS(I5-J5)&lt;=0.00006,"OK","DIFFERS")</f>
        <v>OK</v>
      </c>
    </row>
    <row r="6" customFormat="false" ht="15" hidden="false" customHeight="true" outlineLevel="0" collapsed="false">
      <c r="A6" s="3" t="n">
        <v>5</v>
      </c>
      <c r="B6" s="3" t="s">
        <v>11</v>
      </c>
      <c r="C6" s="4" t="n">
        <f aca="false">SUMIFS(Data!$E$2:$E$336,Data!$A$2:$A$336,"ad",Data!$B$2:$B$336,$A6)</f>
        <v>88805</v>
      </c>
      <c r="D6" s="4" t="n">
        <f aca="false">SUMIFS(Data!$F$2:$F$336,Data!$A$2:$A$336,"ad",Data!$B$2:$B$336,$A6)</f>
        <v>1995</v>
      </c>
      <c r="E6" s="4" t="n">
        <f aca="false">SUMIFS(Data!$E$2:$E$336,Data!$A$2:$A$336,"psa",Data!$B$2:$B$336,$A6)</f>
        <v>3803</v>
      </c>
      <c r="F6" s="4" t="n">
        <f aca="false">SUMIFS(Data!$F$2:$F$336,Data!$A$2:$A$336,"psa",Data!$B$2:$B$336,$A6)</f>
        <v>62</v>
      </c>
      <c r="G6" s="15" t="n">
        <f aca="false">D6/C6</f>
        <v>0.0224649512977873</v>
      </c>
      <c r="H6" s="15" t="n">
        <f aca="false">F6/E6</f>
        <v>0.0163029187483566</v>
      </c>
      <c r="I6" s="10" t="n">
        <f aca="false">(G6-H6)*100</f>
        <v>0.616203254943073</v>
      </c>
      <c r="J6" s="11" t="n">
        <v>0.6162</v>
      </c>
      <c r="K6" s="3" t="str">
        <f aca="false">IF(ABS(I6-J6)&lt;=0.00006,"OK","DIFFERS")</f>
        <v>OK</v>
      </c>
    </row>
    <row r="7" customFormat="false" ht="15" hidden="false" customHeight="true" outlineLevel="0" collapsed="false">
      <c r="A7" s="3" t="n">
        <v>6</v>
      </c>
      <c r="B7" s="3" t="s">
        <v>12</v>
      </c>
      <c r="C7" s="4" t="n">
        <f aca="false">SUMIFS(Data!$E$2:$E$336,Data!$A$2:$A$336,"ad",Data!$B$2:$B$336,$A7)</f>
        <v>78802</v>
      </c>
      <c r="D7" s="4" t="n">
        <f aca="false">SUMIFS(Data!$F$2:$F$336,Data!$A$2:$A$336,"ad",Data!$B$2:$B$336,$A7)</f>
        <v>1679</v>
      </c>
      <c r="E7" s="4" t="n">
        <f aca="false">SUMIFS(Data!$E$2:$E$336,Data!$A$2:$A$336,"psa",Data!$B$2:$B$336,$A7)</f>
        <v>2858</v>
      </c>
      <c r="F7" s="4" t="n">
        <f aca="false">SUMIFS(Data!$F$2:$F$336,Data!$A$2:$A$336,"psa",Data!$B$2:$B$336,$A7)</f>
        <v>40</v>
      </c>
      <c r="G7" s="15" t="n">
        <f aca="false">D7/C7</f>
        <v>0.0213065658232025</v>
      </c>
      <c r="H7" s="15" t="n">
        <f aca="false">F7/E7</f>
        <v>0.0139958012596221</v>
      </c>
      <c r="I7" s="10" t="n">
        <f aca="false">(G7-H7)*100</f>
        <v>0.731076456358034</v>
      </c>
      <c r="J7" s="11" t="n">
        <v>0.7311</v>
      </c>
      <c r="K7" s="3" t="str">
        <f aca="false">IF(ABS(I7-J7)&lt;=0.00006,"OK","DIFFERS")</f>
        <v>OK</v>
      </c>
    </row>
    <row r="8" customFormat="false" ht="15" hidden="false" customHeight="true" outlineLevel="0" collapsed="false">
      <c r="A8" s="3" t="n">
        <v>7</v>
      </c>
      <c r="B8" s="3" t="s">
        <v>13</v>
      </c>
      <c r="C8" s="4" t="n">
        <f aca="false">SUMIFS(Data!$E$2:$E$336,Data!$A$2:$A$336,"ad",Data!$B$2:$B$336,$A8)</f>
        <v>82332</v>
      </c>
      <c r="D8" s="4" t="n">
        <f aca="false">SUMIFS(Data!$F$2:$F$336,Data!$A$2:$A$336,"ad",Data!$B$2:$B$336,$A8)</f>
        <v>2027</v>
      </c>
      <c r="E8" s="4" t="n">
        <f aca="false">SUMIFS(Data!$E$2:$E$336,Data!$A$2:$A$336,"psa",Data!$B$2:$B$336,$A8)</f>
        <v>3059</v>
      </c>
      <c r="F8" s="4" t="n">
        <f aca="false">SUMIFS(Data!$F$2:$F$336,Data!$A$2:$A$336,"psa",Data!$B$2:$B$336,$A8)</f>
        <v>63</v>
      </c>
      <c r="G8" s="15" t="n">
        <f aca="false">D8/C8</f>
        <v>0.0246198319001117</v>
      </c>
      <c r="H8" s="15" t="n">
        <f aca="false">F8/E8</f>
        <v>0.0205949656750572</v>
      </c>
      <c r="I8" s="10" t="n">
        <f aca="false">(G8-H8)*100</f>
        <v>0.402486622505454</v>
      </c>
      <c r="J8" s="11" t="n">
        <v>0.4025</v>
      </c>
      <c r="K8" s="3" t="str">
        <f aca="false">IF(ABS(I8-J8)&lt;=0.00006,"OK","DIFFERS")</f>
        <v>OK</v>
      </c>
    </row>
    <row r="10" customFormat="false" ht="15" hidden="false" customHeight="true" outlineLevel="0" collapsed="false">
      <c r="A10" s="3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2026-10-24T22:18:31Z</dcterms:created>
  <dc:creator>openpyxl</dc:creator>
  <dc:description/>
  <dc:language>en-US</dc:language>
  <cp:lastModifiedBy/>
  <dcterms:modified xsi:type="dcterms:W3CDTF">2026-10-25T08:43:12Z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